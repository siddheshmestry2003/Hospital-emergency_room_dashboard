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defaultThemeVersion="166925"/>
  <mc:AlternateContent xmlns:mc="http://schemas.openxmlformats.org/markup-compatibility/2006">
    <mc:Choice Requires="x15">
      <x15ac:absPath xmlns:x15ac="http://schemas.microsoft.com/office/spreadsheetml/2010/11/ac" url="C:\Users\siddh\OneDrive\Desktop\Projects\my excel project\Hospital-emergency_room_dashboard\"/>
    </mc:Choice>
  </mc:AlternateContent>
  <xr:revisionPtr revIDLastSave="0" documentId="13_ncr:1_{B157368E-8953-4B65-8548-13A252EE5EEB}" xr6:coauthVersionLast="47" xr6:coauthVersionMax="47" xr10:uidLastSave="{00000000-0000-0000-0000-000000000000}"/>
  <bookViews>
    <workbookView xWindow="-108" yWindow="-108" windowWidth="23256" windowHeight="12456" activeTab="1" xr2:uid="{80F5FFFB-796D-4EAC-8A5E-B9557A53B45E}"/>
  </bookViews>
  <sheets>
    <sheet name="pivot report" sheetId="1" r:id="rId1"/>
    <sheet name="dashbord" sheetId="2" r:id="rId2"/>
    <sheet name="dayWise_avg_waittime" sheetId="4" r:id="rId3"/>
    <sheet name="Daywis_total_patient" sheetId="3" r:id="rId4"/>
    <sheet name="Daywis_Avg_satisfaction" sheetId="5" r:id="rId5"/>
  </sheets>
  <definedNames>
    <definedName name="Slicer_Date__Month">#N/A</definedName>
    <definedName name="Slicer_Date__Year">#N/A</definedName>
  </definedNames>
  <calcPr calcId="191029"/>
  <pivotCaches>
    <pivotCache cacheId="888" r:id="rId6"/>
    <pivotCache cacheId="891" r:id="rId7"/>
    <pivotCache cacheId="894" r:id="rId8"/>
    <pivotCache cacheId="897" r:id="rId9"/>
    <pivotCache cacheId="900" r:id="rId10"/>
    <pivotCache cacheId="903" r:id="rId11"/>
    <pivotCache cacheId="906" r:id="rId12"/>
    <pivotCache cacheId="909" r:id="rId13"/>
    <pivotCache cacheId="912" r:id="rId14"/>
    <pivotCache cacheId="915" r:id="rId15"/>
    <pivotCache cacheId="918" r:id="rId16"/>
    <pivotCache cacheId="921" r:id="rId17"/>
    <pivotCache cacheId="924" r:id="rId18"/>
    <pivotCache cacheId="927" r:id="rId19"/>
  </pivotCaches>
  <extLst>
    <ext xmlns:x14="http://schemas.microsoft.com/office/spreadsheetml/2009/9/main" uri="{876F7934-8845-4945-9796-88D515C7AA90}">
      <x14:pivotCaches>
        <pivotCache cacheId="11" r:id="rId20"/>
      </x14:pivotCaches>
    </ex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0dd0ab50-27fa-4682-a4ed-511a3175f7e7" name="Hospital Emergency Room Data" connection="Query - Hospital Emergency Room Data"/>
          <x15:modelTable id="Calender_table_8c9c854a-d35a-4f13-bd95-d19add7c4dfe" name="Calender_table" connection="Query - Calender_table"/>
        </x15:modelTables>
        <x15:modelRelationships>
          <x15:modelRelationship fromTable="Hospital Emergency Room Data" fromColumn="Patient Admission Date" toTable="Calender_table" toColumn="Date"/>
        </x15:modelRelationships>
        <x15:extLst>
          <ext xmlns:x16="http://schemas.microsoft.com/office/spreadsheetml/2014/11/main" uri="{9835A34E-60A6-4A7C-AAB8-D5F71C897F49}">
            <x16:modelTimeGroupings>
              <x16:modelTimeGrouping tableName="Calender_table" columnName="Date" columnId="Date">
                <x16:calculatedTimeColumn columnName="Date (Year)" columnId="Date (Year)" contentType="years" isSelected="0"/>
                <x16:calculatedTimeColumn columnName="Date (Quarter)" columnId="Date (Quarter)" contentType="quarters" isSelected="0"/>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1"/>
                <x16:calculatedTimeColumn columnName="Date (Day)" columnId="Date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5" i="1" l="1"/>
  <c r="C86" i="1"/>
  <c r="B86" i="1"/>
  <c r="B85" i="1"/>
  <c r="A85" i="1"/>
  <c r="A8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3D920B-4EE1-48ED-ACE3-255B17A1BE75}" name="Query - Calender_table" description="Connection to the 'Calender_table' query in the workbook." type="100" refreshedVersion="8" minRefreshableVersion="5">
    <extLst>
      <ext xmlns:x15="http://schemas.microsoft.com/office/spreadsheetml/2010/11/main" uri="{DE250136-89BD-433C-8126-D09CA5730AF9}">
        <x15:connection id="72dbe1d6-5b6f-4c09-a01c-32128b9d1ae7"/>
      </ext>
    </extLst>
  </connection>
  <connection id="2" xr16:uid="{AF7BC9F4-86DB-4D74-8A69-648F1F4D422D}"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96e10aea-f962-4755-bd46-1359d042e113"/>
      </ext>
    </extLst>
  </connection>
  <connection id="3" xr16:uid="{594A2B53-8DD2-4817-B916-3F470AC4170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<sst xmlns="http://schemas.openxmlformats.org/spreadsheetml/2006/main" count="167" uniqueCount="74">
  <si>
    <t>Count of Patient Id</t>
  </si>
  <si>
    <t>Row Labels</t>
  </si>
  <si>
    <t>Grand Total</t>
  </si>
  <si>
    <t>0-9</t>
  </si>
  <si>
    <t>10-19</t>
  </si>
  <si>
    <t>20-29</t>
  </si>
  <si>
    <t>30-39</t>
  </si>
  <si>
    <t>40-49</t>
  </si>
  <si>
    <t>50-59</t>
  </si>
  <si>
    <t>60-69</t>
  </si>
  <si>
    <t>70-79</t>
  </si>
  <si>
    <t>No of patient</t>
  </si>
  <si>
    <t>Average of Patient Waittime</t>
  </si>
  <si>
    <t>wating average time of patient</t>
  </si>
  <si>
    <t>Average of Patient Satisfaction Score</t>
  </si>
  <si>
    <t>patient satisfaction score</t>
  </si>
  <si>
    <t>daly trend of no of patient</t>
  </si>
  <si>
    <t>average wait time</t>
  </si>
  <si>
    <t>Admitted</t>
  </si>
  <si>
    <t>Not Admitted</t>
  </si>
  <si>
    <t>Count of Patient Admission Flag</t>
  </si>
  <si>
    <t>Count of Patient Admission Flag2</t>
  </si>
  <si>
    <t>Admission Status</t>
  </si>
  <si>
    <t xml:space="preserve">      % Status</t>
  </si>
  <si>
    <t xml:space="preserve">  No.of Patient</t>
  </si>
  <si>
    <t xml:space="preserve">    % of Total     </t>
  </si>
  <si>
    <t>Count of Age_group</t>
  </si>
  <si>
    <t>1-Jul</t>
  </si>
  <si>
    <t>2-Jul</t>
  </si>
  <si>
    <t>3-Jul</t>
  </si>
  <si>
    <t>4-Jul</t>
  </si>
  <si>
    <t>5-Jul</t>
  </si>
  <si>
    <t>6-Jul</t>
  </si>
  <si>
    <t>7-Jul</t>
  </si>
  <si>
    <t>8-Jul</t>
  </si>
  <si>
    <t>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</si>
  <si>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</si>
  <si>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</si>
  <si>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</si>
  <si>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</si>
  <si>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</si>
  <si>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</si>
  <si>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</si>
  <si>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</si>
  <si>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</si>
  <si>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</si>
  <si>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</si>
  <si>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</si>
  <si>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</si>
  <si>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</si>
  <si>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</si>
  <si>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</si>
  <si>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</si>
  <si>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</si>
  <si>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</si>
  <si>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</si>
  <si>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</si>
  <si>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</si>
  <si>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Ontime</t>
  </si>
  <si>
    <t>Delay</t>
  </si>
  <si>
    <t>Count of Patient_attend_status</t>
  </si>
  <si>
    <t>Cardiology</t>
  </si>
  <si>
    <t>Gastroenterology</t>
  </si>
  <si>
    <t>General Practice</t>
  </si>
  <si>
    <t>Neurology</t>
  </si>
  <si>
    <t>None</t>
  </si>
  <si>
    <t>Orthopedics</t>
  </si>
  <si>
    <t>Physiotherapy</t>
  </si>
  <si>
    <t>Renal</t>
  </si>
  <si>
    <t>Count of Department Referral</t>
  </si>
  <si>
    <t>Female</t>
  </si>
  <si>
    <t>Male</t>
  </si>
  <si>
    <t>Count of Patient Gender</t>
  </si>
  <si>
    <t>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</si>
</sst>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pivotButton="1"/>
    <xf numFmtId="0" fontId="0" fillId="0" borderId="0" xfId="0" applyAlignment="1">
      <alignment horizontal="left"/>
    </xf>
    <xf numFmtId="2" fontId="0" fillId="0" borderId="0" xfId="0" applyNumberFormat="1"/>
    <xf numFmtId="0" fontId="0" fillId="2" borderId="0" xfId="0" applyFill="1"/>
    <xf numFmtId="0" fontId="0" fillId="3" borderId="0" xfId="0" applyFill="1"/>
    <xf numFmtId="164" fontId="0" fillId="0" borderId="0" xfId="0" applyNumberFormat="1"/>
    <xf numFmtId="10" fontId="0" fillId="0" borderId="0" xfId="0" applyNumberFormat="1"/>
    <xf numFmtId="0" fontId="2" fillId="4" borderId="0" xfId="0" applyFont="1" applyFill="1"/>
    <xf numFmtId="0" fontId="0" fillId="0" borderId="0" xfId="0" applyAlignment="1">
      <alignment horizontal="center" vertical="center"/>
    </xf>
    <xf numFmtId="9" fontId="0" fillId="0" borderId="0" xfId="1" applyFont="1" applyAlignment="1">
      <alignment horizontal="center" vertical="center"/>
    </xf>
    <xf numFmtId="0" fontId="0" fillId="0" borderId="0" xfId="0" applyNumberFormat="1"/>
  </cellXfs>
  <cellStyles count="2">
    <cellStyle name="Normal" xfId="0" builtinId="0"/>
    <cellStyle name="Percent" xfId="1" builtinId="5"/>
  </cellStyles>
  <dxfs count="136">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fill>
        <patternFill patternType="solid">
          <fgColor theme="2"/>
          <bgColor theme="9" tint="0.79992065187536243"/>
        </patternFill>
      </fill>
      <border>
        <left style="thin">
          <color auto="1"/>
        </left>
        <right style="thin">
          <color auto="1"/>
        </right>
        <top style="thin">
          <color auto="1"/>
        </top>
        <bottom style="thin">
          <color auto="1"/>
        </bottom>
      </border>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1" formatCode="0"/>
    </dxf>
    <dxf>
      <numFmt numFmtId="1" formatCode="0"/>
    </dxf>
    <dxf>
      <numFmt numFmtId="164" formatCode="0.0"/>
    </dxf>
    <dxf>
      <numFmt numFmtId="1" formatCode="0"/>
    </dxf>
    <dxf>
      <numFmt numFmtId="164" formatCode="0.0"/>
    </dxf>
    <dxf>
      <numFmt numFmtId="2" formatCode="0.00"/>
    </dxf>
    <dxf>
      <numFmt numFmtId="2" formatCode="0.00"/>
    </dxf>
    <dxf>
      <numFmt numFmtId="2" formatCode="0.00"/>
    </dxf>
    <dxf>
      <numFmt numFmtId="2" formatCode="0.00"/>
    </dxf>
    <dxf>
      <numFmt numFmtId="164" formatCode="0.0"/>
    </dxf>
    <dxf>
      <numFmt numFmtId="1" formatCode="0"/>
    </dxf>
    <dxf>
      <numFmt numFmtId="1" formatCode="0"/>
    </dxf>
    <dxf>
      <numFmt numFmtId="164" formatCode="0.0"/>
    </dxf>
    <dxf>
      <numFmt numFmtId="1" formatCode="0"/>
    </dxf>
    <dxf>
      <font>
        <b/>
        <color theme="1"/>
      </font>
      <border>
        <bottom style="thin">
          <color theme="5"/>
        </bottom>
        <vertical/>
        <horizontal/>
      </border>
    </dxf>
    <dxf>
      <fill>
        <patternFill>
          <bgColor theme="9" tint="0.79998168889431442"/>
        </patternFill>
      </fill>
      <border diagonalUp="0" diagonalDown="0">
        <left/>
        <right/>
        <top/>
        <bottom/>
        <vertical/>
        <horizontal/>
      </border>
    </dxf>
  </dxfs>
  <tableStyles count="3" defaultTableStyle="TableStyleMedium2" defaultPivotStyle="PivotStyleLight16">
    <tableStyle name="Invisible" pivot="0" table="0" count="0" xr9:uid="{41E01DBE-99F4-4406-8237-9AFBB3076B8C}"/>
    <tableStyle name="my_own_style" pivot="0" table="0" count="10" xr9:uid="{1190AD18-D6AE-415F-8291-C1B192B4681F}">
      <tableStyleElement type="wholeTable" dxfId="135"/>
      <tableStyleElement type="headerRow" dxfId="134"/>
    </tableStyle>
    <tableStyle name="Slicer Style 1" pivot="0" table="0" count="1" xr9:uid="{D64DC7D8-D436-4494-9BA7-347147CA7832}">
      <tableStyleElement type="wholeTable" dxfId="21"/>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_own_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microsoft.com/office/2007/relationships/slicerCache" Target="slicerCaches/slicerCache2.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5.xml"/><Relationship Id="rId41" Type="http://schemas.openxmlformats.org/officeDocument/2006/relationships/customXml" Target="../customXml/item1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dLbl>
          <c:idx val="0"/>
          <c:tx>
            <c:rich>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040A452-64CC-47A6-857D-FADD30B0510C}"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3"/>
        <c:spPr>
          <a:solidFill>
            <a:schemeClr val="accent1"/>
          </a:solidFill>
          <a:ln>
            <a:noFill/>
          </a:ln>
          <a:effectLst/>
        </c:spPr>
        <c:dLbl>
          <c:idx val="0"/>
          <c:tx>
            <c:rich>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ACE8CB4-9C81-47DB-B497-521FC712D30D}"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s>
    <c:plotArea>
      <c:layout>
        <c:manualLayout>
          <c:layoutTarget val="inner"/>
          <c:xMode val="edge"/>
          <c:yMode val="edge"/>
          <c:x val="0"/>
          <c:y val="0"/>
          <c:w val="1"/>
          <c:h val="1"/>
        </c:manualLayout>
      </c:layout>
      <c:barChart>
        <c:barDir val="bar"/>
        <c:grouping val="clustered"/>
        <c:varyColors val="0"/>
        <c:ser>
          <c:idx val="0"/>
          <c:order val="0"/>
          <c:tx>
            <c:strRef>
              <c:f>'pivot report'!$C$69:$C$70</c:f>
              <c:strCache>
                <c:ptCount val="1"/>
                <c:pt idx="0">
                  <c:v>Count of Patient Admission Flag</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3-5BFF-48FC-8CF3-28267D65FF3B}"/>
              </c:ext>
            </c:extLst>
          </c:dPt>
          <c:dPt>
            <c:idx val="1"/>
            <c:invertIfNegative val="0"/>
            <c:bubble3D val="0"/>
            <c:extLst>
              <c:ext xmlns:c16="http://schemas.microsoft.com/office/drawing/2014/chart" uri="{C3380CC4-5D6E-409C-BE32-E72D297353CC}">
                <c16:uniqueId val="{00000004-5BFF-48FC-8CF3-28267D65FF3B}"/>
              </c:ext>
            </c:extLst>
          </c:dPt>
          <c:dLbls>
            <c:dLbl>
              <c:idx val="0"/>
              <c:tx>
                <c:rich>
                  <a:bodyPr/>
                  <a:lstStyle/>
                  <a:p>
                    <a:fld id="{4040A452-64CC-47A6-857D-FADD30B0510C}" type="CELLRANGE">
                      <a:rPr lang="en-US"/>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BFF-48FC-8CF3-28267D65FF3B}"/>
                </c:ext>
              </c:extLst>
            </c:dLbl>
            <c:dLbl>
              <c:idx val="1"/>
              <c:tx>
                <c:rich>
                  <a:bodyPr/>
                  <a:lstStyle/>
                  <a:p>
                    <a:fld id="{0ACE8CB4-9C81-47DB-B497-521FC712D30D}" type="CELLRANGE">
                      <a:rPr lang="en-US"/>
                      <a:pPr/>
                      <a:t>[CELLRANGE]</a:t>
                    </a:fld>
                    <a:endParaRPr lang="en-IN"/>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BFF-48FC-8CF3-28267D65FF3B}"/>
                </c:ext>
              </c:extLst>
            </c:dLbl>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cat>
            <c:strRef>
              <c:f>'pivot report'!$C$69:$C$70</c:f>
              <c:strCache>
                <c:ptCount val="2"/>
                <c:pt idx="0">
                  <c:v>Admitted</c:v>
                </c:pt>
                <c:pt idx="1">
                  <c:v>Not Admitted</c:v>
                </c:pt>
              </c:strCache>
            </c:strRef>
          </c:cat>
          <c:val>
            <c:numRef>
              <c:f>'pivot report'!$C$69:$C$70</c:f>
              <c:numCache>
                <c:formatCode>General</c:formatCode>
                <c:ptCount val="2"/>
                <c:pt idx="0">
                  <c:v>266</c:v>
                </c:pt>
                <c:pt idx="1">
                  <c:v>222</c:v>
                </c:pt>
              </c:numCache>
            </c:numRef>
          </c:val>
          <c:extLst>
            <c:ext xmlns:c15="http://schemas.microsoft.com/office/drawing/2012/chart" uri="{02D57815-91ED-43cb-92C2-25804820EDAC}">
              <c15:datalabelsRange>
                <c15:f>'pivot report'!$C$69:$C$70</c15:f>
                <c15:dlblRangeCache>
                  <c:ptCount val="2"/>
                  <c:pt idx="0">
                    <c:v>54.51%</c:v>
                  </c:pt>
                  <c:pt idx="1">
                    <c:v>45.49%</c:v>
                  </c:pt>
                </c15:dlblRangeCache>
              </c15:datalabelsRange>
            </c:ext>
            <c:ext xmlns:c16="http://schemas.microsoft.com/office/drawing/2014/chart" uri="{C3380CC4-5D6E-409C-BE32-E72D297353CC}">
              <c16:uniqueId val="{00000000-5BFF-48FC-8CF3-28267D65FF3B}"/>
            </c:ext>
          </c:extLst>
        </c:ser>
        <c:ser>
          <c:idx val="1"/>
          <c:order val="1"/>
          <c:tx>
            <c:strRef>
              <c:f>'pivot report'!$C$69:$C$70</c:f>
              <c:strCache>
                <c:ptCount val="1"/>
                <c:pt idx="0">
                  <c:v>Count of Patient Admission Flag2</c:v>
                </c:pt>
              </c:strCache>
            </c:strRef>
          </c:tx>
          <c:spPr>
            <a:solidFill>
              <a:schemeClr val="accent2"/>
            </a:solidFill>
            <a:ln>
              <a:noFill/>
            </a:ln>
            <a:effectLst/>
          </c:spPr>
          <c:invertIfNegative val="0"/>
          <c:cat>
            <c:strRef>
              <c:f>'pivot report'!$C$69:$C$70</c:f>
              <c:strCache>
                <c:ptCount val="2"/>
                <c:pt idx="0">
                  <c:v>Admitted</c:v>
                </c:pt>
                <c:pt idx="1">
                  <c:v>Not Admitted</c:v>
                </c:pt>
              </c:strCache>
            </c:strRef>
          </c:cat>
          <c:val>
            <c:numRef>
              <c:f>'pivot report'!$C$69:$C$70</c:f>
              <c:numCache>
                <c:formatCode>0.00%</c:formatCode>
                <c:ptCount val="2"/>
                <c:pt idx="0">
                  <c:v>0.54508196721311475</c:v>
                </c:pt>
                <c:pt idx="1">
                  <c:v>0.45491803278688525</c:v>
                </c:pt>
              </c:numCache>
            </c:numRef>
          </c:val>
          <c:extLst>
            <c:ext xmlns:c16="http://schemas.microsoft.com/office/drawing/2014/chart" uri="{C3380CC4-5D6E-409C-BE32-E72D297353CC}">
              <c16:uniqueId val="{00000001-5BFF-48FC-8CF3-28267D65FF3B}"/>
            </c:ext>
          </c:extLst>
        </c:ser>
        <c:dLbls>
          <c:showLegendKey val="0"/>
          <c:showVal val="0"/>
          <c:showCatName val="0"/>
          <c:showSerName val="0"/>
          <c:showPercent val="0"/>
          <c:showBubbleSize val="0"/>
        </c:dLbls>
        <c:gapWidth val="38"/>
        <c:overlap val="-9"/>
        <c:axId val="519212512"/>
        <c:axId val="519212992"/>
      </c:barChart>
      <c:catAx>
        <c:axId val="519212512"/>
        <c:scaling>
          <c:orientation val="minMax"/>
        </c:scaling>
        <c:delete val="1"/>
        <c:axPos val="l"/>
        <c:numFmt formatCode="General" sourceLinked="1"/>
        <c:majorTickMark val="none"/>
        <c:minorTickMark val="none"/>
        <c:tickLblPos val="nextTo"/>
        <c:crossAx val="519212992"/>
        <c:crosses val="autoZero"/>
        <c:auto val="1"/>
        <c:lblAlgn val="ctr"/>
        <c:lblOffset val="100"/>
        <c:noMultiLvlLbl val="0"/>
      </c:catAx>
      <c:valAx>
        <c:axId val="519212992"/>
        <c:scaling>
          <c:orientation val="minMax"/>
        </c:scaling>
        <c:delete val="1"/>
        <c:axPos val="b"/>
        <c:numFmt formatCode="General" sourceLinked="1"/>
        <c:majorTickMark val="none"/>
        <c:minorTickMark val="none"/>
        <c:tickLblPos val="nextTo"/>
        <c:crossAx val="519212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report!PivotTable5</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no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5.3056522004516847E-2"/>
          <c:w val="1"/>
          <c:h val="0.94694347799548317"/>
        </c:manualLayout>
      </c:layout>
      <c:areaChart>
        <c:grouping val="standard"/>
        <c:varyColors val="0"/>
        <c:ser>
          <c:idx val="0"/>
          <c:order val="0"/>
          <c:tx>
            <c:strRef>
              <c:f>'pivot report'!$B$32</c:f>
              <c:strCache>
                <c:ptCount val="1"/>
                <c:pt idx="0">
                  <c:v>Total</c:v>
                </c:pt>
              </c:strCache>
            </c:strRef>
          </c:tx>
          <c:spPr>
            <a:solidFill>
              <a:schemeClr val="accent1"/>
            </a:solidFill>
            <a:ln>
              <a:noFill/>
            </a:ln>
            <a:effectLst/>
          </c:spPr>
          <c:cat>
            <c:strRef>
              <c:f>'pivot report'!$A$33:$A$64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report'!$B$33:$B$64</c:f>
              <c:numCache>
                <c:formatCode>General</c:formatCode>
                <c:ptCount val="31"/>
                <c:pt idx="0">
                  <c:v>17</c:v>
                </c:pt>
                <c:pt idx="1">
                  <c:v>19</c:v>
                </c:pt>
                <c:pt idx="2">
                  <c:v>12</c:v>
                </c:pt>
                <c:pt idx="3">
                  <c:v>9</c:v>
                </c:pt>
                <c:pt idx="4">
                  <c:v>15</c:v>
                </c:pt>
                <c:pt idx="5">
                  <c:v>10</c:v>
                </c:pt>
                <c:pt idx="6">
                  <c:v>18</c:v>
                </c:pt>
                <c:pt idx="7">
                  <c:v>19</c:v>
                </c:pt>
                <c:pt idx="8">
                  <c:v>19</c:v>
                </c:pt>
                <c:pt idx="9">
                  <c:v>13</c:v>
                </c:pt>
                <c:pt idx="10">
                  <c:v>15</c:v>
                </c:pt>
                <c:pt idx="11">
                  <c:v>25</c:v>
                </c:pt>
                <c:pt idx="12">
                  <c:v>19</c:v>
                </c:pt>
                <c:pt idx="13">
                  <c:v>15</c:v>
                </c:pt>
                <c:pt idx="14">
                  <c:v>14</c:v>
                </c:pt>
                <c:pt idx="15">
                  <c:v>20</c:v>
                </c:pt>
                <c:pt idx="16">
                  <c:v>14</c:v>
                </c:pt>
                <c:pt idx="17">
                  <c:v>14</c:v>
                </c:pt>
                <c:pt idx="18">
                  <c:v>17</c:v>
                </c:pt>
                <c:pt idx="19">
                  <c:v>16</c:v>
                </c:pt>
                <c:pt idx="20">
                  <c:v>18</c:v>
                </c:pt>
                <c:pt idx="21">
                  <c:v>8</c:v>
                </c:pt>
                <c:pt idx="22">
                  <c:v>17</c:v>
                </c:pt>
                <c:pt idx="23">
                  <c:v>11</c:v>
                </c:pt>
                <c:pt idx="24">
                  <c:v>15</c:v>
                </c:pt>
                <c:pt idx="25">
                  <c:v>13</c:v>
                </c:pt>
                <c:pt idx="26">
                  <c:v>17</c:v>
                </c:pt>
                <c:pt idx="27">
                  <c:v>20</c:v>
                </c:pt>
                <c:pt idx="28">
                  <c:v>20</c:v>
                </c:pt>
                <c:pt idx="29">
                  <c:v>13</c:v>
                </c:pt>
                <c:pt idx="30">
                  <c:v>16</c:v>
                </c:pt>
              </c:numCache>
            </c:numRef>
          </c:val>
          <c:extLst>
            <c:ext xmlns:c16="http://schemas.microsoft.com/office/drawing/2014/chart" uri="{C3380CC4-5D6E-409C-BE32-E72D297353CC}">
              <c16:uniqueId val="{00000000-57A4-492E-9043-CB713C13194F}"/>
            </c:ext>
          </c:extLst>
        </c:ser>
        <c:dLbls>
          <c:showLegendKey val="0"/>
          <c:showVal val="0"/>
          <c:showCatName val="0"/>
          <c:showSerName val="0"/>
          <c:showPercent val="0"/>
          <c:showBubbleSize val="0"/>
        </c:dLbls>
        <c:axId val="522282128"/>
        <c:axId val="522284528"/>
      </c:areaChart>
      <c:catAx>
        <c:axId val="522282128"/>
        <c:scaling>
          <c:orientation val="minMax"/>
        </c:scaling>
        <c:delete val="1"/>
        <c:axPos val="b"/>
        <c:numFmt formatCode="General" sourceLinked="1"/>
        <c:majorTickMark val="out"/>
        <c:minorTickMark val="none"/>
        <c:tickLblPos val="nextTo"/>
        <c:crossAx val="522284528"/>
        <c:crosses val="autoZero"/>
        <c:auto val="1"/>
        <c:lblAlgn val="ctr"/>
        <c:lblOffset val="100"/>
        <c:noMultiLvlLbl val="0"/>
      </c:catAx>
      <c:valAx>
        <c:axId val="522284528"/>
        <c:scaling>
          <c:orientation val="minMax"/>
        </c:scaling>
        <c:delete val="1"/>
        <c:axPos val="l"/>
        <c:numFmt formatCode="General" sourceLinked="1"/>
        <c:majorTickMark val="none"/>
        <c:minorTickMark val="none"/>
        <c:tickLblPos val="nextTo"/>
        <c:crossAx val="52228212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no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report!PivotTable6</c:name>
    <c:fmtId val="18"/>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9.3384282846997083E-2"/>
          <c:w val="0.93888888888888888"/>
          <c:h val="0.85568936235911697"/>
        </c:manualLayout>
      </c:layout>
      <c:areaChart>
        <c:grouping val="standard"/>
        <c:varyColors val="0"/>
        <c:ser>
          <c:idx val="0"/>
          <c:order val="0"/>
          <c:tx>
            <c:strRef>
              <c:f>'pivot report'!$E$32</c:f>
              <c:strCache>
                <c:ptCount val="1"/>
                <c:pt idx="0">
                  <c:v>Total</c:v>
                </c:pt>
              </c:strCache>
            </c:strRef>
          </c:tx>
          <c:spPr>
            <a:solidFill>
              <a:schemeClr val="accent1"/>
            </a:solidFill>
            <a:ln>
              <a:noFill/>
            </a:ln>
            <a:effectLst/>
          </c:spPr>
          <c:cat>
            <c:strRef>
              <c:f>'pivot report'!$D$33:$D$64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report'!$E$33:$E$64</c:f>
              <c:numCache>
                <c:formatCode>0.0</c:formatCode>
                <c:ptCount val="31"/>
                <c:pt idx="0">
                  <c:v>36.941176470588232</c:v>
                </c:pt>
                <c:pt idx="1">
                  <c:v>30.842105263157894</c:v>
                </c:pt>
                <c:pt idx="2">
                  <c:v>31.833333333333332</c:v>
                </c:pt>
                <c:pt idx="3">
                  <c:v>33.777777777777779</c:v>
                </c:pt>
                <c:pt idx="4">
                  <c:v>30.466666666666665</c:v>
                </c:pt>
                <c:pt idx="5">
                  <c:v>38.799999999999997</c:v>
                </c:pt>
                <c:pt idx="6">
                  <c:v>30.277777777777779</c:v>
                </c:pt>
                <c:pt idx="7">
                  <c:v>35.157894736842103</c:v>
                </c:pt>
                <c:pt idx="8">
                  <c:v>37.94736842105263</c:v>
                </c:pt>
                <c:pt idx="9">
                  <c:v>33.92307692307692</c:v>
                </c:pt>
                <c:pt idx="10">
                  <c:v>33.200000000000003</c:v>
                </c:pt>
                <c:pt idx="11">
                  <c:v>40.159999999999997</c:v>
                </c:pt>
                <c:pt idx="12">
                  <c:v>41.578947368421055</c:v>
                </c:pt>
                <c:pt idx="13">
                  <c:v>36.866666666666667</c:v>
                </c:pt>
                <c:pt idx="14">
                  <c:v>33.714285714285715</c:v>
                </c:pt>
                <c:pt idx="15">
                  <c:v>33.700000000000003</c:v>
                </c:pt>
                <c:pt idx="16">
                  <c:v>34.642857142857146</c:v>
                </c:pt>
                <c:pt idx="17">
                  <c:v>36.5</c:v>
                </c:pt>
                <c:pt idx="18">
                  <c:v>33.058823529411768</c:v>
                </c:pt>
                <c:pt idx="19">
                  <c:v>33.5625</c:v>
                </c:pt>
                <c:pt idx="20">
                  <c:v>31.555555555555557</c:v>
                </c:pt>
                <c:pt idx="21">
                  <c:v>38.375</c:v>
                </c:pt>
                <c:pt idx="22">
                  <c:v>35.411764705882355</c:v>
                </c:pt>
                <c:pt idx="23">
                  <c:v>34.909090909090907</c:v>
                </c:pt>
                <c:pt idx="24">
                  <c:v>35.133333333333333</c:v>
                </c:pt>
                <c:pt idx="25">
                  <c:v>35.07692307692308</c:v>
                </c:pt>
                <c:pt idx="26">
                  <c:v>35.352941176470587</c:v>
                </c:pt>
                <c:pt idx="27">
                  <c:v>36.6</c:v>
                </c:pt>
                <c:pt idx="28">
                  <c:v>35.799999999999997</c:v>
                </c:pt>
                <c:pt idx="29">
                  <c:v>30.307692307692307</c:v>
                </c:pt>
                <c:pt idx="30">
                  <c:v>42.75</c:v>
                </c:pt>
              </c:numCache>
            </c:numRef>
          </c:val>
          <c:extLst>
            <c:ext xmlns:c16="http://schemas.microsoft.com/office/drawing/2014/chart" uri="{C3380CC4-5D6E-409C-BE32-E72D297353CC}">
              <c16:uniqueId val="{00000000-E4FD-4B4D-9623-61C449BEF3C1}"/>
            </c:ext>
          </c:extLst>
        </c:ser>
        <c:dLbls>
          <c:showLegendKey val="0"/>
          <c:showVal val="0"/>
          <c:showCatName val="0"/>
          <c:showSerName val="0"/>
          <c:showPercent val="0"/>
          <c:showBubbleSize val="0"/>
        </c:dLbls>
        <c:axId val="520925568"/>
        <c:axId val="520926048"/>
      </c:areaChart>
      <c:catAx>
        <c:axId val="520925568"/>
        <c:scaling>
          <c:orientation val="minMax"/>
        </c:scaling>
        <c:delete val="1"/>
        <c:axPos val="b"/>
        <c:numFmt formatCode="General" sourceLinked="1"/>
        <c:majorTickMark val="out"/>
        <c:minorTickMark val="none"/>
        <c:tickLblPos val="nextTo"/>
        <c:crossAx val="520926048"/>
        <c:crosses val="autoZero"/>
        <c:auto val="1"/>
        <c:lblAlgn val="ctr"/>
        <c:lblOffset val="100"/>
        <c:noMultiLvlLbl val="0"/>
      </c:catAx>
      <c:valAx>
        <c:axId val="520926048"/>
        <c:scaling>
          <c:orientation val="minMax"/>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52092556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report!PivotTable7</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997594050743651E-2"/>
          <c:y val="9.6028212904482366E-2"/>
          <c:w val="0.96774065624974448"/>
          <c:h val="0.83583280005193683"/>
        </c:manualLayout>
      </c:layout>
      <c:areaChart>
        <c:grouping val="standard"/>
        <c:varyColors val="0"/>
        <c:ser>
          <c:idx val="0"/>
          <c:order val="0"/>
          <c:tx>
            <c:strRef>
              <c:f>'pivot report'!$J$32</c:f>
              <c:strCache>
                <c:ptCount val="1"/>
                <c:pt idx="0">
                  <c:v>Total</c:v>
                </c:pt>
              </c:strCache>
            </c:strRef>
          </c:tx>
          <c:spPr>
            <a:solidFill>
              <a:schemeClr val="accent1"/>
            </a:solidFill>
            <a:ln>
              <a:noFill/>
            </a:ln>
            <a:effectLst/>
          </c:spPr>
          <c:cat>
            <c:strRef>
              <c:f>'pivot report'!$I$33:$I$64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report'!$J$33:$J$64</c:f>
              <c:numCache>
                <c:formatCode>0.0</c:formatCode>
                <c:ptCount val="31"/>
                <c:pt idx="0">
                  <c:v>4.125</c:v>
                </c:pt>
                <c:pt idx="1">
                  <c:v>5.333333333333333</c:v>
                </c:pt>
                <c:pt idx="2">
                  <c:v>4.75</c:v>
                </c:pt>
                <c:pt idx="3">
                  <c:v>2</c:v>
                </c:pt>
                <c:pt idx="4">
                  <c:v>8</c:v>
                </c:pt>
                <c:pt idx="5">
                  <c:v>3.5</c:v>
                </c:pt>
                <c:pt idx="6">
                  <c:v>7</c:v>
                </c:pt>
                <c:pt idx="7">
                  <c:v>3.5</c:v>
                </c:pt>
                <c:pt idx="8">
                  <c:v>6.4</c:v>
                </c:pt>
                <c:pt idx="9">
                  <c:v>3.5</c:v>
                </c:pt>
                <c:pt idx="10">
                  <c:v>6.5</c:v>
                </c:pt>
                <c:pt idx="11">
                  <c:v>5.2857142857142856</c:v>
                </c:pt>
                <c:pt idx="12">
                  <c:v>4.333333333333333</c:v>
                </c:pt>
                <c:pt idx="13">
                  <c:v>3</c:v>
                </c:pt>
                <c:pt idx="14">
                  <c:v>4.333333333333333</c:v>
                </c:pt>
                <c:pt idx="15">
                  <c:v>3.3333333333333335</c:v>
                </c:pt>
                <c:pt idx="16">
                  <c:v>2.5714285714285716</c:v>
                </c:pt>
                <c:pt idx="17">
                  <c:v>3.75</c:v>
                </c:pt>
                <c:pt idx="18">
                  <c:v>8.3333333333333339</c:v>
                </c:pt>
                <c:pt idx="19">
                  <c:v>3.75</c:v>
                </c:pt>
                <c:pt idx="20">
                  <c:v>4.666666666666667</c:v>
                </c:pt>
                <c:pt idx="21">
                  <c:v>5</c:v>
                </c:pt>
                <c:pt idx="22">
                  <c:v>4.333333333333333</c:v>
                </c:pt>
                <c:pt idx="23">
                  <c:v>4.666666666666667</c:v>
                </c:pt>
                <c:pt idx="24">
                  <c:v>4.5</c:v>
                </c:pt>
                <c:pt idx="25">
                  <c:v>6</c:v>
                </c:pt>
                <c:pt idx="26">
                  <c:v>6.8888888888888893</c:v>
                </c:pt>
                <c:pt idx="27">
                  <c:v>6.5714285714285712</c:v>
                </c:pt>
                <c:pt idx="28">
                  <c:v>4.0999999999999996</c:v>
                </c:pt>
                <c:pt idx="29">
                  <c:v>5</c:v>
                </c:pt>
                <c:pt idx="30">
                  <c:v>5.4</c:v>
                </c:pt>
              </c:numCache>
            </c:numRef>
          </c:val>
          <c:extLst>
            <c:ext xmlns:c16="http://schemas.microsoft.com/office/drawing/2014/chart" uri="{C3380CC4-5D6E-409C-BE32-E72D297353CC}">
              <c16:uniqueId val="{00000000-363E-42D8-B953-9BEB6B28B5A9}"/>
            </c:ext>
          </c:extLst>
        </c:ser>
        <c:dLbls>
          <c:showLegendKey val="0"/>
          <c:showVal val="0"/>
          <c:showCatName val="0"/>
          <c:showSerName val="0"/>
          <c:showPercent val="0"/>
          <c:showBubbleSize val="0"/>
        </c:dLbls>
        <c:axId val="1908960608"/>
        <c:axId val="1908961088"/>
      </c:areaChart>
      <c:catAx>
        <c:axId val="1908960608"/>
        <c:scaling>
          <c:orientation val="minMax"/>
        </c:scaling>
        <c:delete val="1"/>
        <c:axPos val="b"/>
        <c:numFmt formatCode="General" sourceLinked="1"/>
        <c:majorTickMark val="out"/>
        <c:minorTickMark val="none"/>
        <c:tickLblPos val="nextTo"/>
        <c:crossAx val="1908961088"/>
        <c:crosses val="autoZero"/>
        <c:auto val="1"/>
        <c:lblAlgn val="ctr"/>
        <c:lblOffset val="100"/>
        <c:noMultiLvlLbl val="0"/>
      </c:catAx>
      <c:valAx>
        <c:axId val="1908961088"/>
        <c:scaling>
          <c:orientation val="minMax"/>
        </c:scaling>
        <c:delete val="1"/>
        <c:axPos val="l"/>
        <c:numFmt formatCode="0.0" sourceLinked="1"/>
        <c:majorTickMark val="none"/>
        <c:minorTickMark val="none"/>
        <c:tickLblPos val="nextTo"/>
        <c:crossAx val="190896060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report!PivotTable10</c:name>
    <c:fmtId val="4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252525252525252E-2"/>
          <c:y val="4.8372911169744945E-2"/>
          <c:w val="0.9494949494949495"/>
          <c:h val="0.78425261180587724"/>
        </c:manualLayout>
      </c:layout>
      <c:barChart>
        <c:barDir val="col"/>
        <c:grouping val="clustered"/>
        <c:varyColors val="0"/>
        <c:ser>
          <c:idx val="0"/>
          <c:order val="0"/>
          <c:tx>
            <c:strRef>
              <c:f>'pivot report'!$B$91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report'!$A$92:$A$100</c:f>
              <c:strCache>
                <c:ptCount val="8"/>
                <c:pt idx="0">
                  <c:v>0-9</c:v>
                </c:pt>
                <c:pt idx="1">
                  <c:v>10-19</c:v>
                </c:pt>
                <c:pt idx="2">
                  <c:v>20-29</c:v>
                </c:pt>
                <c:pt idx="3">
                  <c:v>30-39</c:v>
                </c:pt>
                <c:pt idx="4">
                  <c:v>40-49</c:v>
                </c:pt>
                <c:pt idx="5">
                  <c:v>50-59</c:v>
                </c:pt>
                <c:pt idx="6">
                  <c:v>60-69</c:v>
                </c:pt>
                <c:pt idx="7">
                  <c:v>70-79</c:v>
                </c:pt>
              </c:strCache>
            </c:strRef>
          </c:cat>
          <c:val>
            <c:numRef>
              <c:f>'pivot report'!$B$92:$B$100</c:f>
              <c:numCache>
                <c:formatCode>General</c:formatCode>
                <c:ptCount val="8"/>
                <c:pt idx="0">
                  <c:v>62</c:v>
                </c:pt>
                <c:pt idx="1">
                  <c:v>73</c:v>
                </c:pt>
                <c:pt idx="2">
                  <c:v>49</c:v>
                </c:pt>
                <c:pt idx="3">
                  <c:v>44</c:v>
                </c:pt>
                <c:pt idx="4">
                  <c:v>72</c:v>
                </c:pt>
                <c:pt idx="5">
                  <c:v>71</c:v>
                </c:pt>
                <c:pt idx="6">
                  <c:v>59</c:v>
                </c:pt>
                <c:pt idx="7">
                  <c:v>58</c:v>
                </c:pt>
              </c:numCache>
            </c:numRef>
          </c:val>
          <c:extLst>
            <c:ext xmlns:c16="http://schemas.microsoft.com/office/drawing/2014/chart" uri="{C3380CC4-5D6E-409C-BE32-E72D297353CC}">
              <c16:uniqueId val="{00000000-197D-4822-8878-A4F45D8A256D}"/>
            </c:ext>
          </c:extLst>
        </c:ser>
        <c:dLbls>
          <c:dLblPos val="outEnd"/>
          <c:showLegendKey val="0"/>
          <c:showVal val="1"/>
          <c:showCatName val="0"/>
          <c:showSerName val="0"/>
          <c:showPercent val="0"/>
          <c:showBubbleSize val="0"/>
        </c:dLbls>
        <c:gapWidth val="219"/>
        <c:overlap val="-27"/>
        <c:axId val="1660165328"/>
        <c:axId val="1660172048"/>
      </c:barChart>
      <c:catAx>
        <c:axId val="166016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0172048"/>
        <c:crosses val="autoZero"/>
        <c:auto val="1"/>
        <c:lblAlgn val="ctr"/>
        <c:lblOffset val="100"/>
        <c:noMultiLvlLbl val="0"/>
      </c:catAx>
      <c:valAx>
        <c:axId val="1660172048"/>
        <c:scaling>
          <c:orientation val="minMax"/>
        </c:scaling>
        <c:delete val="1"/>
        <c:axPos val="l"/>
        <c:numFmt formatCode="General" sourceLinked="1"/>
        <c:majorTickMark val="none"/>
        <c:minorTickMark val="none"/>
        <c:tickLblPos val="nextTo"/>
        <c:crossAx val="1660165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report!PivotTable11</c:name>
    <c:fmtId val="4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1572016199587954"/>
          <c:y val="0.10954164266052109"/>
          <c:w val="0.58826164874551978"/>
          <c:h val="0.76248548199767718"/>
        </c:manualLayout>
      </c:layout>
      <c:pieChart>
        <c:varyColors val="1"/>
        <c:ser>
          <c:idx val="0"/>
          <c:order val="0"/>
          <c:tx>
            <c:strRef>
              <c:f>'pivot report'!$B$104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993-4BF2-90E5-D9993AE46F1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993-4BF2-90E5-D9993AE46F1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report'!$A$105:$A$107</c:f>
              <c:strCache>
                <c:ptCount val="2"/>
                <c:pt idx="0">
                  <c:v>Delay</c:v>
                </c:pt>
                <c:pt idx="1">
                  <c:v>Ontime</c:v>
                </c:pt>
              </c:strCache>
            </c:strRef>
          </c:cat>
          <c:val>
            <c:numRef>
              <c:f>'pivot report'!$B$105:$B$107</c:f>
              <c:numCache>
                <c:formatCode>General</c:formatCode>
                <c:ptCount val="2"/>
                <c:pt idx="0">
                  <c:v>288</c:v>
                </c:pt>
                <c:pt idx="1">
                  <c:v>200</c:v>
                </c:pt>
              </c:numCache>
            </c:numRef>
          </c:val>
          <c:extLst>
            <c:ext xmlns:c16="http://schemas.microsoft.com/office/drawing/2014/chart" uri="{C3380CC4-5D6E-409C-BE32-E72D297353CC}">
              <c16:uniqueId val="{00000004-0993-4BF2-90E5-D9993AE46F15}"/>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21020376485197415"/>
          <c:y val="2.6791061328601529E-2"/>
          <c:w val="0.52554892332006886"/>
          <c:h val="7.283693196886972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report!PivotTable12</c:name>
    <c:fmtId val="5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171835327359487"/>
          <c:y val="4.629613736974976E-2"/>
          <c:w val="0.75008486439195099"/>
          <c:h val="0.89814814814814814"/>
        </c:manualLayout>
      </c:layout>
      <c:barChart>
        <c:barDir val="bar"/>
        <c:grouping val="clustered"/>
        <c:varyColors val="0"/>
        <c:ser>
          <c:idx val="0"/>
          <c:order val="0"/>
          <c:tx>
            <c:strRef>
              <c:f>'pivot report'!$B$111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report'!$A$112:$A$120</c:f>
              <c:strCache>
                <c:ptCount val="8"/>
                <c:pt idx="0">
                  <c:v>Renal</c:v>
                </c:pt>
                <c:pt idx="1">
                  <c:v>Neurology</c:v>
                </c:pt>
                <c:pt idx="2">
                  <c:v>Cardiology</c:v>
                </c:pt>
                <c:pt idx="3">
                  <c:v>Gastroenterology</c:v>
                </c:pt>
                <c:pt idx="4">
                  <c:v>Physiotherapy</c:v>
                </c:pt>
                <c:pt idx="5">
                  <c:v>Orthopedics</c:v>
                </c:pt>
                <c:pt idx="6">
                  <c:v>General Practice</c:v>
                </c:pt>
                <c:pt idx="7">
                  <c:v>None</c:v>
                </c:pt>
              </c:strCache>
            </c:strRef>
          </c:cat>
          <c:val>
            <c:numRef>
              <c:f>'pivot report'!$B$112:$B$120</c:f>
              <c:numCache>
                <c:formatCode>General</c:formatCode>
                <c:ptCount val="8"/>
                <c:pt idx="0">
                  <c:v>4</c:v>
                </c:pt>
                <c:pt idx="1">
                  <c:v>7</c:v>
                </c:pt>
                <c:pt idx="2">
                  <c:v>11</c:v>
                </c:pt>
                <c:pt idx="3">
                  <c:v>11</c:v>
                </c:pt>
                <c:pt idx="4">
                  <c:v>12</c:v>
                </c:pt>
                <c:pt idx="5">
                  <c:v>60</c:v>
                </c:pt>
                <c:pt idx="6">
                  <c:v>93</c:v>
                </c:pt>
                <c:pt idx="7">
                  <c:v>290</c:v>
                </c:pt>
              </c:numCache>
            </c:numRef>
          </c:val>
          <c:extLst>
            <c:ext xmlns:c16="http://schemas.microsoft.com/office/drawing/2014/chart" uri="{C3380CC4-5D6E-409C-BE32-E72D297353CC}">
              <c16:uniqueId val="{00000000-7627-4E5A-9F4A-5F157CC42B5F}"/>
            </c:ext>
          </c:extLst>
        </c:ser>
        <c:dLbls>
          <c:dLblPos val="outEnd"/>
          <c:showLegendKey val="0"/>
          <c:showVal val="1"/>
          <c:showCatName val="0"/>
          <c:showSerName val="0"/>
          <c:showPercent val="0"/>
          <c:showBubbleSize val="0"/>
        </c:dLbls>
        <c:gapWidth val="182"/>
        <c:axId val="1923637648"/>
        <c:axId val="1923641008"/>
      </c:barChart>
      <c:catAx>
        <c:axId val="1923637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641008"/>
        <c:crosses val="autoZero"/>
        <c:auto val="1"/>
        <c:lblAlgn val="ctr"/>
        <c:lblOffset val="100"/>
        <c:noMultiLvlLbl val="0"/>
      </c:catAx>
      <c:valAx>
        <c:axId val="1923641008"/>
        <c:scaling>
          <c:orientation val="minMax"/>
        </c:scaling>
        <c:delete val="1"/>
        <c:axPos val="b"/>
        <c:numFmt formatCode="General" sourceLinked="1"/>
        <c:majorTickMark val="none"/>
        <c:minorTickMark val="none"/>
        <c:tickLblPos val="nextTo"/>
        <c:crossAx val="19236376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report!PivotTable13</c:name>
    <c:fmtId val="56"/>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268591426071741"/>
          <c:y val="0.14765791137421691"/>
          <c:w val="0.53725784276965383"/>
          <c:h val="0.74118052761652964"/>
        </c:manualLayout>
      </c:layout>
      <c:doughnutChart>
        <c:varyColors val="1"/>
        <c:ser>
          <c:idx val="0"/>
          <c:order val="0"/>
          <c:tx>
            <c:strRef>
              <c:f>'pivot report'!$E$113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9E1-4260-8834-25BE6070F5B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9E1-4260-8834-25BE6070F5B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report'!$D$114:$D$116</c:f>
              <c:strCache>
                <c:ptCount val="2"/>
                <c:pt idx="0">
                  <c:v>Female</c:v>
                </c:pt>
                <c:pt idx="1">
                  <c:v>Male</c:v>
                </c:pt>
              </c:strCache>
            </c:strRef>
          </c:cat>
          <c:val>
            <c:numRef>
              <c:f>'pivot report'!$E$114:$E$116</c:f>
              <c:numCache>
                <c:formatCode>General</c:formatCode>
                <c:ptCount val="2"/>
                <c:pt idx="0">
                  <c:v>232</c:v>
                </c:pt>
                <c:pt idx="1">
                  <c:v>256</c:v>
                </c:pt>
              </c:numCache>
            </c:numRef>
          </c:val>
          <c:extLst>
            <c:ext xmlns:c16="http://schemas.microsoft.com/office/drawing/2014/chart" uri="{C3380CC4-5D6E-409C-BE32-E72D297353CC}">
              <c16:uniqueId val="{00000004-A9E1-4260-8834-25BE6070F5B9}"/>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26787207154661219"/>
          <c:y val="3.6191256202463717E-2"/>
          <c:w val="0.36175755808301741"/>
          <c:h val="0.13078002567197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report!PivotTable6</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131868106138829E-2"/>
          <c:y val="5.0925925925925923E-2"/>
          <c:w val="0.93553129119341794"/>
          <c:h val="0.77870662000583257"/>
        </c:manualLayout>
      </c:layout>
      <c:areaChart>
        <c:grouping val="standard"/>
        <c:varyColors val="0"/>
        <c:ser>
          <c:idx val="0"/>
          <c:order val="0"/>
          <c:tx>
            <c:strRef>
              <c:f>'pivot report'!$E$32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report'!$D$33:$D$64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report'!$E$33:$E$64</c:f>
              <c:numCache>
                <c:formatCode>0.0</c:formatCode>
                <c:ptCount val="31"/>
                <c:pt idx="0">
                  <c:v>36.941176470588232</c:v>
                </c:pt>
                <c:pt idx="1">
                  <c:v>30.842105263157894</c:v>
                </c:pt>
                <c:pt idx="2">
                  <c:v>31.833333333333332</c:v>
                </c:pt>
                <c:pt idx="3">
                  <c:v>33.777777777777779</c:v>
                </c:pt>
                <c:pt idx="4">
                  <c:v>30.466666666666665</c:v>
                </c:pt>
                <c:pt idx="5">
                  <c:v>38.799999999999997</c:v>
                </c:pt>
                <c:pt idx="6">
                  <c:v>30.277777777777779</c:v>
                </c:pt>
                <c:pt idx="7">
                  <c:v>35.157894736842103</c:v>
                </c:pt>
                <c:pt idx="8">
                  <c:v>37.94736842105263</c:v>
                </c:pt>
                <c:pt idx="9">
                  <c:v>33.92307692307692</c:v>
                </c:pt>
                <c:pt idx="10">
                  <c:v>33.200000000000003</c:v>
                </c:pt>
                <c:pt idx="11">
                  <c:v>40.159999999999997</c:v>
                </c:pt>
                <c:pt idx="12">
                  <c:v>41.578947368421055</c:v>
                </c:pt>
                <c:pt idx="13">
                  <c:v>36.866666666666667</c:v>
                </c:pt>
                <c:pt idx="14">
                  <c:v>33.714285714285715</c:v>
                </c:pt>
                <c:pt idx="15">
                  <c:v>33.700000000000003</c:v>
                </c:pt>
                <c:pt idx="16">
                  <c:v>34.642857142857146</c:v>
                </c:pt>
                <c:pt idx="17">
                  <c:v>36.5</c:v>
                </c:pt>
                <c:pt idx="18">
                  <c:v>33.058823529411768</c:v>
                </c:pt>
                <c:pt idx="19">
                  <c:v>33.5625</c:v>
                </c:pt>
                <c:pt idx="20">
                  <c:v>31.555555555555557</c:v>
                </c:pt>
                <c:pt idx="21">
                  <c:v>38.375</c:v>
                </c:pt>
                <c:pt idx="22">
                  <c:v>35.411764705882355</c:v>
                </c:pt>
                <c:pt idx="23">
                  <c:v>34.909090909090907</c:v>
                </c:pt>
                <c:pt idx="24">
                  <c:v>35.133333333333333</c:v>
                </c:pt>
                <c:pt idx="25">
                  <c:v>35.07692307692308</c:v>
                </c:pt>
                <c:pt idx="26">
                  <c:v>35.352941176470587</c:v>
                </c:pt>
                <c:pt idx="27">
                  <c:v>36.6</c:v>
                </c:pt>
                <c:pt idx="28">
                  <c:v>35.799999999999997</c:v>
                </c:pt>
                <c:pt idx="29">
                  <c:v>30.307692307692307</c:v>
                </c:pt>
                <c:pt idx="30">
                  <c:v>42.75</c:v>
                </c:pt>
              </c:numCache>
            </c:numRef>
          </c:val>
          <c:extLst>
            <c:ext xmlns:c16="http://schemas.microsoft.com/office/drawing/2014/chart" uri="{C3380CC4-5D6E-409C-BE32-E72D297353CC}">
              <c16:uniqueId val="{00000000-16F0-419C-876D-4B0FAEEB8C88}"/>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520925568"/>
        <c:axId val="520926048"/>
      </c:areaChart>
      <c:catAx>
        <c:axId val="52092556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20926048"/>
        <c:crosses val="autoZero"/>
        <c:auto val="1"/>
        <c:lblAlgn val="ctr"/>
        <c:lblOffset val="100"/>
        <c:noMultiLvlLbl val="0"/>
      </c:catAx>
      <c:valAx>
        <c:axId val="520926048"/>
        <c:scaling>
          <c:orientation val="minMax"/>
        </c:scaling>
        <c:delete val="1"/>
        <c:axPos val="l"/>
        <c:numFmt formatCode="0.0" sourceLinked="1"/>
        <c:majorTickMark val="out"/>
        <c:minorTickMark val="none"/>
        <c:tickLblPos val="nextTo"/>
        <c:crossAx val="52092556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report!PivotTable5</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189883792406987E-2"/>
          <c:y val="6.7750677506775062E-2"/>
          <c:w val="0.86567021826732626"/>
          <c:h val="0.72684390574773661"/>
        </c:manualLayout>
      </c:layout>
      <c:areaChart>
        <c:grouping val="standard"/>
        <c:varyColors val="0"/>
        <c:ser>
          <c:idx val="0"/>
          <c:order val="0"/>
          <c:tx>
            <c:strRef>
              <c:f>'pivot report'!$B$32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report'!$A$33:$A$64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report'!$B$33:$B$64</c:f>
              <c:numCache>
                <c:formatCode>General</c:formatCode>
                <c:ptCount val="31"/>
                <c:pt idx="0">
                  <c:v>17</c:v>
                </c:pt>
                <c:pt idx="1">
                  <c:v>19</c:v>
                </c:pt>
                <c:pt idx="2">
                  <c:v>12</c:v>
                </c:pt>
                <c:pt idx="3">
                  <c:v>9</c:v>
                </c:pt>
                <c:pt idx="4">
                  <c:v>15</c:v>
                </c:pt>
                <c:pt idx="5">
                  <c:v>10</c:v>
                </c:pt>
                <c:pt idx="6">
                  <c:v>18</c:v>
                </c:pt>
                <c:pt idx="7">
                  <c:v>19</c:v>
                </c:pt>
                <c:pt idx="8">
                  <c:v>19</c:v>
                </c:pt>
                <c:pt idx="9">
                  <c:v>13</c:v>
                </c:pt>
                <c:pt idx="10">
                  <c:v>15</c:v>
                </c:pt>
                <c:pt idx="11">
                  <c:v>25</c:v>
                </c:pt>
                <c:pt idx="12">
                  <c:v>19</c:v>
                </c:pt>
                <c:pt idx="13">
                  <c:v>15</c:v>
                </c:pt>
                <c:pt idx="14">
                  <c:v>14</c:v>
                </c:pt>
                <c:pt idx="15">
                  <c:v>20</c:v>
                </c:pt>
                <c:pt idx="16">
                  <c:v>14</c:v>
                </c:pt>
                <c:pt idx="17">
                  <c:v>14</c:v>
                </c:pt>
                <c:pt idx="18">
                  <c:v>17</c:v>
                </c:pt>
                <c:pt idx="19">
                  <c:v>16</c:v>
                </c:pt>
                <c:pt idx="20">
                  <c:v>18</c:v>
                </c:pt>
                <c:pt idx="21">
                  <c:v>8</c:v>
                </c:pt>
                <c:pt idx="22">
                  <c:v>17</c:v>
                </c:pt>
                <c:pt idx="23">
                  <c:v>11</c:v>
                </c:pt>
                <c:pt idx="24">
                  <c:v>15</c:v>
                </c:pt>
                <c:pt idx="25">
                  <c:v>13</c:v>
                </c:pt>
                <c:pt idx="26">
                  <c:v>17</c:v>
                </c:pt>
                <c:pt idx="27">
                  <c:v>20</c:v>
                </c:pt>
                <c:pt idx="28">
                  <c:v>20</c:v>
                </c:pt>
                <c:pt idx="29">
                  <c:v>13</c:v>
                </c:pt>
                <c:pt idx="30">
                  <c:v>16</c:v>
                </c:pt>
              </c:numCache>
            </c:numRef>
          </c:val>
          <c:extLst>
            <c:ext xmlns:c16="http://schemas.microsoft.com/office/drawing/2014/chart" uri="{C3380CC4-5D6E-409C-BE32-E72D297353CC}">
              <c16:uniqueId val="{00000000-DBD9-48AA-8413-091C1A6B548F}"/>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522282128"/>
        <c:axId val="522284528"/>
      </c:areaChart>
      <c:catAx>
        <c:axId val="52228212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22284528"/>
        <c:crosses val="autoZero"/>
        <c:auto val="1"/>
        <c:lblAlgn val="ctr"/>
        <c:lblOffset val="100"/>
        <c:noMultiLvlLbl val="0"/>
      </c:catAx>
      <c:valAx>
        <c:axId val="522284528"/>
        <c:scaling>
          <c:orientation val="minMax"/>
        </c:scaling>
        <c:delete val="1"/>
        <c:axPos val="l"/>
        <c:numFmt formatCode="General" sourceLinked="1"/>
        <c:majorTickMark val="out"/>
        <c:minorTickMark val="none"/>
        <c:tickLblPos val="nextTo"/>
        <c:crossAx val="52228212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report!PivotTable7</c:name>
    <c:fmtId val="3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report'!$J$32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report'!$I$33:$I$64</c:f>
              <c:strCache>
                <c:ptCount val="31"/>
                <c:pt idx="0">
                  <c:v>1-Jul</c:v>
                </c:pt>
                <c:pt idx="1">
                  <c:v>2-Jul</c:v>
                </c:pt>
                <c:pt idx="2">
                  <c:v>3-Jul</c:v>
                </c:pt>
                <c:pt idx="3">
                  <c:v>4-Jul</c:v>
                </c:pt>
                <c:pt idx="4">
                  <c:v>5-Jul</c:v>
                </c:pt>
                <c:pt idx="5">
                  <c:v>6-Jul</c:v>
                </c:pt>
                <c:pt idx="6">
                  <c:v>7-Jul</c:v>
                </c:pt>
                <c:pt idx="7">
                  <c:v>8-Jul</c:v>
                </c:pt>
                <c:pt idx="8">
                  <c:v>9-Jul</c:v>
                </c:pt>
                <c:pt idx="9">
                  <c:v>10-Jul</c:v>
                </c:pt>
                <c:pt idx="10">
                  <c:v>11-Jul</c:v>
                </c:pt>
                <c:pt idx="11">
                  <c:v>12-Jul</c:v>
                </c:pt>
                <c:pt idx="12">
                  <c:v>13-Jul</c:v>
                </c:pt>
                <c:pt idx="13">
                  <c:v>14-Jul</c:v>
                </c:pt>
                <c:pt idx="14">
                  <c:v>15-Jul</c:v>
                </c:pt>
                <c:pt idx="15">
                  <c:v>16-Jul</c:v>
                </c:pt>
                <c:pt idx="16">
                  <c:v>17-Jul</c:v>
                </c:pt>
                <c:pt idx="17">
                  <c:v>18-Jul</c:v>
                </c:pt>
                <c:pt idx="18">
                  <c:v>19-Jul</c:v>
                </c:pt>
                <c:pt idx="19">
                  <c:v>20-Jul</c:v>
                </c:pt>
                <c:pt idx="20">
                  <c:v>21-Jul</c:v>
                </c:pt>
                <c:pt idx="21">
                  <c:v>22-Jul</c:v>
                </c:pt>
                <c:pt idx="22">
                  <c:v>23-Jul</c:v>
                </c:pt>
                <c:pt idx="23">
                  <c:v>24-Jul</c:v>
                </c:pt>
                <c:pt idx="24">
                  <c:v>25-Jul</c:v>
                </c:pt>
                <c:pt idx="25">
                  <c:v>26-Jul</c:v>
                </c:pt>
                <c:pt idx="26">
                  <c:v>27-Jul</c:v>
                </c:pt>
                <c:pt idx="27">
                  <c:v>28-Jul</c:v>
                </c:pt>
                <c:pt idx="28">
                  <c:v>29-Jul</c:v>
                </c:pt>
                <c:pt idx="29">
                  <c:v>30-Jul</c:v>
                </c:pt>
                <c:pt idx="30">
                  <c:v>31-Jul</c:v>
                </c:pt>
              </c:strCache>
            </c:strRef>
          </c:cat>
          <c:val>
            <c:numRef>
              <c:f>'pivot report'!$J$33:$J$64</c:f>
              <c:numCache>
                <c:formatCode>0.0</c:formatCode>
                <c:ptCount val="31"/>
                <c:pt idx="0">
                  <c:v>4.125</c:v>
                </c:pt>
                <c:pt idx="1">
                  <c:v>5.333333333333333</c:v>
                </c:pt>
                <c:pt idx="2">
                  <c:v>4.75</c:v>
                </c:pt>
                <c:pt idx="3">
                  <c:v>2</c:v>
                </c:pt>
                <c:pt idx="4">
                  <c:v>8</c:v>
                </c:pt>
                <c:pt idx="5">
                  <c:v>3.5</c:v>
                </c:pt>
                <c:pt idx="6">
                  <c:v>7</c:v>
                </c:pt>
                <c:pt idx="7">
                  <c:v>3.5</c:v>
                </c:pt>
                <c:pt idx="8">
                  <c:v>6.4</c:v>
                </c:pt>
                <c:pt idx="9">
                  <c:v>3.5</c:v>
                </c:pt>
                <c:pt idx="10">
                  <c:v>6.5</c:v>
                </c:pt>
                <c:pt idx="11">
                  <c:v>5.2857142857142856</c:v>
                </c:pt>
                <c:pt idx="12">
                  <c:v>4.333333333333333</c:v>
                </c:pt>
                <c:pt idx="13">
                  <c:v>3</c:v>
                </c:pt>
                <c:pt idx="14">
                  <c:v>4.333333333333333</c:v>
                </c:pt>
                <c:pt idx="15">
                  <c:v>3.3333333333333335</c:v>
                </c:pt>
                <c:pt idx="16">
                  <c:v>2.5714285714285716</c:v>
                </c:pt>
                <c:pt idx="17">
                  <c:v>3.75</c:v>
                </c:pt>
                <c:pt idx="18">
                  <c:v>8.3333333333333339</c:v>
                </c:pt>
                <c:pt idx="19">
                  <c:v>3.75</c:v>
                </c:pt>
                <c:pt idx="20">
                  <c:v>4.666666666666667</c:v>
                </c:pt>
                <c:pt idx="21">
                  <c:v>5</c:v>
                </c:pt>
                <c:pt idx="22">
                  <c:v>4.333333333333333</c:v>
                </c:pt>
                <c:pt idx="23">
                  <c:v>4.666666666666667</c:v>
                </c:pt>
                <c:pt idx="24">
                  <c:v>4.5</c:v>
                </c:pt>
                <c:pt idx="25">
                  <c:v>6</c:v>
                </c:pt>
                <c:pt idx="26">
                  <c:v>6.8888888888888893</c:v>
                </c:pt>
                <c:pt idx="27">
                  <c:v>6.5714285714285712</c:v>
                </c:pt>
                <c:pt idx="28">
                  <c:v>4.0999999999999996</c:v>
                </c:pt>
                <c:pt idx="29">
                  <c:v>5</c:v>
                </c:pt>
                <c:pt idx="30">
                  <c:v>5.4</c:v>
                </c:pt>
              </c:numCache>
            </c:numRef>
          </c:val>
          <c:extLst>
            <c:ext xmlns:c16="http://schemas.microsoft.com/office/drawing/2014/chart" uri="{C3380CC4-5D6E-409C-BE32-E72D297353CC}">
              <c16:uniqueId val="{00000000-6198-4D55-8DB6-FF9F6577D087}"/>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908960608"/>
        <c:axId val="1908961088"/>
      </c:areaChart>
      <c:catAx>
        <c:axId val="1908960608"/>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08961088"/>
        <c:crosses val="autoZero"/>
        <c:auto val="1"/>
        <c:lblAlgn val="ctr"/>
        <c:lblOffset val="100"/>
        <c:noMultiLvlLbl val="0"/>
      </c:catAx>
      <c:valAx>
        <c:axId val="1908961088"/>
        <c:scaling>
          <c:orientation val="minMax"/>
        </c:scaling>
        <c:delete val="1"/>
        <c:axPos val="l"/>
        <c:numFmt formatCode="0.0" sourceLinked="1"/>
        <c:majorTickMark val="out"/>
        <c:minorTickMark val="none"/>
        <c:tickLblPos val="nextTo"/>
        <c:crossAx val="190896060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hyperlink" Target="#Daywis_total_patient!A1"/><Relationship Id="rId13" Type="http://schemas.openxmlformats.org/officeDocument/2006/relationships/hyperlink" Target="#Daywis_Avg_satisfaction!A1"/><Relationship Id="rId18" Type="http://schemas.openxmlformats.org/officeDocument/2006/relationships/chart" Target="../charts/chart7.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3.xml"/><Relationship Id="rId17" Type="http://schemas.openxmlformats.org/officeDocument/2006/relationships/chart" Target="../charts/chart6.xml"/><Relationship Id="rId2" Type="http://schemas.openxmlformats.org/officeDocument/2006/relationships/image" Target="../media/image2.png"/><Relationship Id="rId16"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dayWise_avg_waittime!A1"/><Relationship Id="rId5" Type="http://schemas.openxmlformats.org/officeDocument/2006/relationships/image" Target="../media/image5.svg"/><Relationship Id="rId15" Type="http://schemas.openxmlformats.org/officeDocument/2006/relationships/image" Target="../media/image9.emf"/><Relationship Id="rId10" Type="http://schemas.openxmlformats.org/officeDocument/2006/relationships/image" Target="../media/image8.emf"/><Relationship Id="rId19" Type="http://schemas.openxmlformats.org/officeDocument/2006/relationships/chart" Target="../charts/chart8.xml"/><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dashbord!A1"/><Relationship Id="rId1" Type="http://schemas.openxmlformats.org/officeDocument/2006/relationships/chart" Target="../charts/chart9.xml"/><Relationship Id="rId4" Type="http://schemas.openxmlformats.org/officeDocument/2006/relationships/image" Target="../media/image11.svg"/></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dashbord!A1"/><Relationship Id="rId1" Type="http://schemas.openxmlformats.org/officeDocument/2006/relationships/chart" Target="../charts/chart10.xml"/><Relationship Id="rId4" Type="http://schemas.openxmlformats.org/officeDocument/2006/relationships/image" Target="../media/image13.svg"/></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rd!A1"/></Relationships>
</file>

<file path=xl/drawings/drawing1.xml><?xml version="1.0" encoding="utf-8"?>
<xdr:wsDr xmlns:xdr="http://schemas.openxmlformats.org/drawingml/2006/spreadsheetDrawing" xmlns:a="http://schemas.openxmlformats.org/drawingml/2006/main">
  <xdr:twoCellAnchor>
    <xdr:from>
      <xdr:col>3</xdr:col>
      <xdr:colOff>30480</xdr:colOff>
      <xdr:row>84</xdr:row>
      <xdr:rowOff>0</xdr:rowOff>
    </xdr:from>
    <xdr:to>
      <xdr:col>3</xdr:col>
      <xdr:colOff>1112520</xdr:colOff>
      <xdr:row>86</xdr:row>
      <xdr:rowOff>30480</xdr:rowOff>
    </xdr:to>
    <xdr:graphicFrame macro="">
      <xdr:nvGraphicFramePr>
        <xdr:cNvPr id="2" name="Chart 1">
          <a:extLst>
            <a:ext uri="{FF2B5EF4-FFF2-40B4-BE49-F238E27FC236}">
              <a16:creationId xmlns:a16="http://schemas.microsoft.com/office/drawing/2014/main" id="{E7B8828A-A176-C5B7-AED1-2EFA234B89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152400</xdr:colOff>
      <xdr:row>118</xdr:row>
      <xdr:rowOff>76201</xdr:rowOff>
    </xdr:from>
    <xdr:to>
      <xdr:col>7</xdr:col>
      <xdr:colOff>152400</xdr:colOff>
      <xdr:row>122</xdr:row>
      <xdr:rowOff>38101</xdr:rowOff>
    </xdr:to>
    <mc:AlternateContent xmlns:mc="http://schemas.openxmlformats.org/markup-compatibility/2006">
      <mc:Choice xmlns:a14="http://schemas.microsoft.com/office/drawing/2010/main" Requires="a14">
        <xdr:graphicFrame macro="">
          <xdr:nvGraphicFramePr>
            <xdr:cNvPr id="5" name="Date (Year)">
              <a:extLst>
                <a:ext uri="{FF2B5EF4-FFF2-40B4-BE49-F238E27FC236}">
                  <a16:creationId xmlns:a16="http://schemas.microsoft.com/office/drawing/2014/main" id="{1823CB92-642E-C2DA-DE1A-3F7C069F88BD}"/>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dr:sp macro="" textlink="">
          <xdr:nvSpPr>
            <xdr:cNvPr id="0" name=""/>
            <xdr:cNvSpPr>
              <a:spLocks noTextEdit="1"/>
            </xdr:cNvSpPr>
          </xdr:nvSpPr>
          <xdr:spPr>
            <a:xfrm>
              <a:off x="4229100" y="21656041"/>
              <a:ext cx="1828800" cy="6934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83820</xdr:colOff>
      <xdr:row>0</xdr:row>
      <xdr:rowOff>83820</xdr:rowOff>
    </xdr:from>
    <xdr:to>
      <xdr:col>7</xdr:col>
      <xdr:colOff>22860</xdr:colOff>
      <xdr:row>3</xdr:row>
      <xdr:rowOff>167640</xdr:rowOff>
    </xdr:to>
    <xdr:sp macro="" textlink="">
      <xdr:nvSpPr>
        <xdr:cNvPr id="2" name="Rectangle: Rounded Corners 1">
          <a:extLst>
            <a:ext uri="{FF2B5EF4-FFF2-40B4-BE49-F238E27FC236}">
              <a16:creationId xmlns:a16="http://schemas.microsoft.com/office/drawing/2014/main" id="{45A00DCE-8C6D-73AF-974D-AEB2A0FCB5BA}"/>
            </a:ext>
          </a:extLst>
        </xdr:cNvPr>
        <xdr:cNvSpPr/>
      </xdr:nvSpPr>
      <xdr:spPr>
        <a:xfrm>
          <a:off x="83820" y="83820"/>
          <a:ext cx="4206240" cy="632460"/>
        </a:xfrm>
        <a:prstGeom prst="roundRect">
          <a:avLst>
            <a:gd name="adj" fmla="val 1359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121920</xdr:colOff>
      <xdr:row>5</xdr:row>
      <xdr:rowOff>160020</xdr:rowOff>
    </xdr:from>
    <xdr:to>
      <xdr:col>20</xdr:col>
      <xdr:colOff>487680</xdr:colOff>
      <xdr:row>11</xdr:row>
      <xdr:rowOff>68580</xdr:rowOff>
    </xdr:to>
    <xdr:sp macro="" textlink="">
      <xdr:nvSpPr>
        <xdr:cNvPr id="8" name="Rectangle: Rounded Corners 7">
          <a:extLst>
            <a:ext uri="{FF2B5EF4-FFF2-40B4-BE49-F238E27FC236}">
              <a16:creationId xmlns:a16="http://schemas.microsoft.com/office/drawing/2014/main" id="{901D75C6-6F4B-EE49-0E67-2F5E60FAFF2A}"/>
            </a:ext>
          </a:extLst>
        </xdr:cNvPr>
        <xdr:cNvSpPr/>
      </xdr:nvSpPr>
      <xdr:spPr>
        <a:xfrm>
          <a:off x="6217920" y="1074420"/>
          <a:ext cx="6187440" cy="1005840"/>
        </a:xfrm>
        <a:prstGeom prst="roundRect">
          <a:avLst>
            <a:gd name="adj" fmla="val 1359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10</xdr:col>
      <xdr:colOff>106680</xdr:colOff>
      <xdr:row>0</xdr:row>
      <xdr:rowOff>30480</xdr:rowOff>
    </xdr:from>
    <xdr:to>
      <xdr:col>23</xdr:col>
      <xdr:colOff>297180</xdr:colOff>
      <xdr:row>5</xdr:row>
      <xdr:rowOff>76200</xdr:rowOff>
    </xdr:to>
    <xdr:grpSp>
      <xdr:nvGrpSpPr>
        <xdr:cNvPr id="23" name="Group 22">
          <a:extLst>
            <a:ext uri="{FF2B5EF4-FFF2-40B4-BE49-F238E27FC236}">
              <a16:creationId xmlns:a16="http://schemas.microsoft.com/office/drawing/2014/main" id="{E98CD1C0-443B-0165-6840-F5F31BD9BD9E}"/>
            </a:ext>
          </a:extLst>
        </xdr:cNvPr>
        <xdr:cNvGrpSpPr/>
      </xdr:nvGrpSpPr>
      <xdr:grpSpPr>
        <a:xfrm>
          <a:off x="6202680" y="30480"/>
          <a:ext cx="7840980" cy="960120"/>
          <a:chOff x="6256020" y="60960"/>
          <a:chExt cx="7825740" cy="662940"/>
        </a:xfrm>
      </xdr:grpSpPr>
      <xdr:sp macro="" textlink="">
        <xdr:nvSpPr>
          <xdr:cNvPr id="9" name="Rectangle: Rounded Corners 8">
            <a:extLst>
              <a:ext uri="{FF2B5EF4-FFF2-40B4-BE49-F238E27FC236}">
                <a16:creationId xmlns:a16="http://schemas.microsoft.com/office/drawing/2014/main" id="{B5B1688D-0B28-21BC-7427-0467CE176077}"/>
              </a:ext>
            </a:extLst>
          </xdr:cNvPr>
          <xdr:cNvSpPr/>
        </xdr:nvSpPr>
        <xdr:spPr>
          <a:xfrm>
            <a:off x="6256020" y="76200"/>
            <a:ext cx="2552700" cy="647700"/>
          </a:xfrm>
          <a:prstGeom prst="roundRect">
            <a:avLst>
              <a:gd name="adj" fmla="val 7904"/>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Rounded Corners 14">
            <a:extLst>
              <a:ext uri="{FF2B5EF4-FFF2-40B4-BE49-F238E27FC236}">
                <a16:creationId xmlns:a16="http://schemas.microsoft.com/office/drawing/2014/main" id="{4A405E9C-8A41-F335-EF50-AD83CDA6E159}"/>
              </a:ext>
            </a:extLst>
          </xdr:cNvPr>
          <xdr:cNvSpPr/>
        </xdr:nvSpPr>
        <xdr:spPr>
          <a:xfrm>
            <a:off x="8877300" y="60960"/>
            <a:ext cx="2552700" cy="647700"/>
          </a:xfrm>
          <a:prstGeom prst="roundRect">
            <a:avLst>
              <a:gd name="adj" fmla="val 5467"/>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Rounded Corners 15">
            <a:extLst>
              <a:ext uri="{FF2B5EF4-FFF2-40B4-BE49-F238E27FC236}">
                <a16:creationId xmlns:a16="http://schemas.microsoft.com/office/drawing/2014/main" id="{3B9B177D-3B22-185B-256A-DD68628691D6}"/>
              </a:ext>
            </a:extLst>
          </xdr:cNvPr>
          <xdr:cNvSpPr/>
        </xdr:nvSpPr>
        <xdr:spPr>
          <a:xfrm>
            <a:off x="11529060" y="68580"/>
            <a:ext cx="2552700" cy="647700"/>
          </a:xfrm>
          <a:prstGeom prst="roundRect">
            <a:avLst>
              <a:gd name="adj" fmla="val 11153"/>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20</xdr:col>
      <xdr:colOff>579120</xdr:colOff>
      <xdr:row>5</xdr:row>
      <xdr:rowOff>167640</xdr:rowOff>
    </xdr:from>
    <xdr:to>
      <xdr:col>23</xdr:col>
      <xdr:colOff>335280</xdr:colOff>
      <xdr:row>27</xdr:row>
      <xdr:rowOff>167640</xdr:rowOff>
    </xdr:to>
    <xdr:sp macro="" textlink="">
      <xdr:nvSpPr>
        <xdr:cNvPr id="17" name="Rectangle: Rounded Corners 16">
          <a:extLst>
            <a:ext uri="{FF2B5EF4-FFF2-40B4-BE49-F238E27FC236}">
              <a16:creationId xmlns:a16="http://schemas.microsoft.com/office/drawing/2014/main" id="{F54DA8E8-255B-6052-40A2-3EB14C1921F8}"/>
            </a:ext>
          </a:extLst>
        </xdr:cNvPr>
        <xdr:cNvSpPr/>
      </xdr:nvSpPr>
      <xdr:spPr>
        <a:xfrm>
          <a:off x="12496800" y="1082040"/>
          <a:ext cx="1584960" cy="4023360"/>
        </a:xfrm>
        <a:prstGeom prst="roundRect">
          <a:avLst>
            <a:gd name="adj" fmla="val 8302"/>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60960</xdr:colOff>
      <xdr:row>0</xdr:row>
      <xdr:rowOff>68580</xdr:rowOff>
    </xdr:from>
    <xdr:to>
      <xdr:col>10</xdr:col>
      <xdr:colOff>68580</xdr:colOff>
      <xdr:row>3</xdr:row>
      <xdr:rowOff>137160</xdr:rowOff>
    </xdr:to>
    <xdr:sp macro="" textlink="">
      <xdr:nvSpPr>
        <xdr:cNvPr id="18" name="Rectangle: Rounded Corners 17">
          <a:extLst>
            <a:ext uri="{FF2B5EF4-FFF2-40B4-BE49-F238E27FC236}">
              <a16:creationId xmlns:a16="http://schemas.microsoft.com/office/drawing/2014/main" id="{A49129F9-A58D-10DD-73E0-474D5B7CC269}"/>
            </a:ext>
          </a:extLst>
        </xdr:cNvPr>
        <xdr:cNvSpPr/>
      </xdr:nvSpPr>
      <xdr:spPr>
        <a:xfrm>
          <a:off x="4328160" y="68580"/>
          <a:ext cx="1836420" cy="617220"/>
        </a:xfrm>
        <a:prstGeom prst="roundRect">
          <a:avLst>
            <a:gd name="adj" fmla="val 1359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99060</xdr:colOff>
      <xdr:row>4</xdr:row>
      <xdr:rowOff>76200</xdr:rowOff>
    </xdr:from>
    <xdr:to>
      <xdr:col>10</xdr:col>
      <xdr:colOff>76200</xdr:colOff>
      <xdr:row>16</xdr:row>
      <xdr:rowOff>137160</xdr:rowOff>
    </xdr:to>
    <xdr:grpSp>
      <xdr:nvGrpSpPr>
        <xdr:cNvPr id="29" name="Group 28">
          <a:extLst>
            <a:ext uri="{FF2B5EF4-FFF2-40B4-BE49-F238E27FC236}">
              <a16:creationId xmlns:a16="http://schemas.microsoft.com/office/drawing/2014/main" id="{0ABEBF94-8F24-D876-6C49-3163252B763E}"/>
            </a:ext>
          </a:extLst>
        </xdr:cNvPr>
        <xdr:cNvGrpSpPr/>
      </xdr:nvGrpSpPr>
      <xdr:grpSpPr>
        <a:xfrm>
          <a:off x="99060" y="807720"/>
          <a:ext cx="6073140" cy="2255520"/>
          <a:chOff x="53340" y="845820"/>
          <a:chExt cx="6080760" cy="2606040"/>
        </a:xfrm>
      </xdr:grpSpPr>
      <xdr:sp macro="" textlink="">
        <xdr:nvSpPr>
          <xdr:cNvPr id="19" name="Rectangle: Rounded Corners 18">
            <a:extLst>
              <a:ext uri="{FF2B5EF4-FFF2-40B4-BE49-F238E27FC236}">
                <a16:creationId xmlns:a16="http://schemas.microsoft.com/office/drawing/2014/main" id="{EF3C1994-D16C-48B5-8213-AE596552DAD4}"/>
              </a:ext>
            </a:extLst>
          </xdr:cNvPr>
          <xdr:cNvSpPr/>
        </xdr:nvSpPr>
        <xdr:spPr>
          <a:xfrm>
            <a:off x="53340" y="845820"/>
            <a:ext cx="2994660" cy="2606040"/>
          </a:xfrm>
          <a:prstGeom prst="roundRect">
            <a:avLst>
              <a:gd name="adj" fmla="val 356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Rectangle: Rounded Corners 20">
            <a:extLst>
              <a:ext uri="{FF2B5EF4-FFF2-40B4-BE49-F238E27FC236}">
                <a16:creationId xmlns:a16="http://schemas.microsoft.com/office/drawing/2014/main" id="{DD872EDE-1629-7F9C-2801-339A2A81D955}"/>
              </a:ext>
            </a:extLst>
          </xdr:cNvPr>
          <xdr:cNvSpPr/>
        </xdr:nvSpPr>
        <xdr:spPr>
          <a:xfrm>
            <a:off x="3139440" y="845820"/>
            <a:ext cx="2994660" cy="2606040"/>
          </a:xfrm>
          <a:prstGeom prst="roundRect">
            <a:avLst>
              <a:gd name="adj" fmla="val 3560"/>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0</xdr:col>
      <xdr:colOff>106680</xdr:colOff>
      <xdr:row>16</xdr:row>
      <xdr:rowOff>167640</xdr:rowOff>
    </xdr:from>
    <xdr:to>
      <xdr:col>10</xdr:col>
      <xdr:colOff>68580</xdr:colOff>
      <xdr:row>27</xdr:row>
      <xdr:rowOff>152400</xdr:rowOff>
    </xdr:to>
    <xdr:sp macro="" textlink="">
      <xdr:nvSpPr>
        <xdr:cNvPr id="30" name="Rectangle: Rounded Corners 29">
          <a:extLst>
            <a:ext uri="{FF2B5EF4-FFF2-40B4-BE49-F238E27FC236}">
              <a16:creationId xmlns:a16="http://schemas.microsoft.com/office/drawing/2014/main" id="{96BF2F8A-EA9D-226E-3DB9-6F6DC2EC81CE}"/>
            </a:ext>
          </a:extLst>
        </xdr:cNvPr>
        <xdr:cNvSpPr/>
      </xdr:nvSpPr>
      <xdr:spPr>
        <a:xfrm>
          <a:off x="106680" y="3093720"/>
          <a:ext cx="6057900" cy="1996440"/>
        </a:xfrm>
        <a:prstGeom prst="roundRect">
          <a:avLst>
            <a:gd name="adj" fmla="val 4766"/>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53340</xdr:colOff>
      <xdr:row>0</xdr:row>
      <xdr:rowOff>175260</xdr:rowOff>
    </xdr:from>
    <xdr:to>
      <xdr:col>0</xdr:col>
      <xdr:colOff>76200</xdr:colOff>
      <xdr:row>30</xdr:row>
      <xdr:rowOff>38100</xdr:rowOff>
    </xdr:to>
    <xdr:cxnSp macro="">
      <xdr:nvCxnSpPr>
        <xdr:cNvPr id="32" name="Straight Connector 31">
          <a:extLst>
            <a:ext uri="{FF2B5EF4-FFF2-40B4-BE49-F238E27FC236}">
              <a16:creationId xmlns:a16="http://schemas.microsoft.com/office/drawing/2014/main" id="{34016A64-7C08-E4C5-5846-7A8A1A95EF23}"/>
            </a:ext>
          </a:extLst>
        </xdr:cNvPr>
        <xdr:cNvCxnSpPr/>
      </xdr:nvCxnSpPr>
      <xdr:spPr>
        <a:xfrm>
          <a:off x="53340" y="175260"/>
          <a:ext cx="22860" cy="53492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129540</xdr:colOff>
      <xdr:row>11</xdr:row>
      <xdr:rowOff>152400</xdr:rowOff>
    </xdr:from>
    <xdr:to>
      <xdr:col>20</xdr:col>
      <xdr:colOff>510540</xdr:colOff>
      <xdr:row>28</xdr:row>
      <xdr:rowOff>7620</xdr:rowOff>
    </xdr:to>
    <xdr:sp macro="" textlink="">
      <xdr:nvSpPr>
        <xdr:cNvPr id="39" name="Rectangle: Rounded Corners 38">
          <a:extLst>
            <a:ext uri="{FF2B5EF4-FFF2-40B4-BE49-F238E27FC236}">
              <a16:creationId xmlns:a16="http://schemas.microsoft.com/office/drawing/2014/main" id="{BD9A8B0E-DF45-7020-7EA6-07CFF1F159D8}"/>
            </a:ext>
          </a:extLst>
        </xdr:cNvPr>
        <xdr:cNvSpPr/>
      </xdr:nvSpPr>
      <xdr:spPr>
        <a:xfrm>
          <a:off x="6225540" y="2164080"/>
          <a:ext cx="6202680" cy="2964180"/>
        </a:xfrm>
        <a:prstGeom prst="roundRect">
          <a:avLst>
            <a:gd name="adj" fmla="val 3283"/>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320040</xdr:colOff>
      <xdr:row>1</xdr:row>
      <xdr:rowOff>53340</xdr:rowOff>
    </xdr:from>
    <xdr:to>
      <xdr:col>23</xdr:col>
      <xdr:colOff>320040</xdr:colOff>
      <xdr:row>30</xdr:row>
      <xdr:rowOff>83820</xdr:rowOff>
    </xdr:to>
    <xdr:cxnSp macro="">
      <xdr:nvCxnSpPr>
        <xdr:cNvPr id="50" name="Straight Connector 49">
          <a:extLst>
            <a:ext uri="{FF2B5EF4-FFF2-40B4-BE49-F238E27FC236}">
              <a16:creationId xmlns:a16="http://schemas.microsoft.com/office/drawing/2014/main" id="{C5D8F8EF-202E-5E12-C4B9-A5F0EC096D15}"/>
            </a:ext>
          </a:extLst>
        </xdr:cNvPr>
        <xdr:cNvCxnSpPr/>
      </xdr:nvCxnSpPr>
      <xdr:spPr>
        <a:xfrm>
          <a:off x="14066520" y="236220"/>
          <a:ext cx="0" cy="5334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22860</xdr:colOff>
      <xdr:row>0</xdr:row>
      <xdr:rowOff>114300</xdr:rowOff>
    </xdr:from>
    <xdr:to>
      <xdr:col>6</xdr:col>
      <xdr:colOff>563880</xdr:colOff>
      <xdr:row>2</xdr:row>
      <xdr:rowOff>0</xdr:rowOff>
    </xdr:to>
    <xdr:sp macro="" textlink="">
      <xdr:nvSpPr>
        <xdr:cNvPr id="52" name="TextBox 51">
          <a:extLst>
            <a:ext uri="{FF2B5EF4-FFF2-40B4-BE49-F238E27FC236}">
              <a16:creationId xmlns:a16="http://schemas.microsoft.com/office/drawing/2014/main" id="{DE7F0827-61AC-444F-AF99-B0065E00BCEB}"/>
            </a:ext>
          </a:extLst>
        </xdr:cNvPr>
        <xdr:cNvSpPr txBox="1"/>
      </xdr:nvSpPr>
      <xdr:spPr>
        <a:xfrm>
          <a:off x="1242060" y="114300"/>
          <a:ext cx="29794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r>
            <a:rPr lang="en-IN" sz="1500">
              <a:ln>
                <a:noFill/>
              </a:ln>
              <a:solidFill>
                <a:schemeClr val="dk1"/>
              </a:solidFill>
            </a:rPr>
            <a:t>Hospital Emergency Room Dashboard</a:t>
          </a:r>
        </a:p>
      </xdr:txBody>
    </xdr:sp>
    <xdr:clientData/>
  </xdr:twoCellAnchor>
  <xdr:twoCellAnchor editAs="oneCell">
    <xdr:from>
      <xdr:col>0</xdr:col>
      <xdr:colOff>160020</xdr:colOff>
      <xdr:row>0</xdr:row>
      <xdr:rowOff>137161</xdr:rowOff>
    </xdr:from>
    <xdr:to>
      <xdr:col>1</xdr:col>
      <xdr:colOff>506893</xdr:colOff>
      <xdr:row>3</xdr:row>
      <xdr:rowOff>91441</xdr:rowOff>
    </xdr:to>
    <xdr:pic>
      <xdr:nvPicPr>
        <xdr:cNvPr id="59" name="Picture 58">
          <a:extLst>
            <a:ext uri="{FF2B5EF4-FFF2-40B4-BE49-F238E27FC236}">
              <a16:creationId xmlns:a16="http://schemas.microsoft.com/office/drawing/2014/main" id="{09DD7CF2-3D6B-EC34-8FFF-04961D9E6A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0020" y="137161"/>
          <a:ext cx="956473" cy="502920"/>
        </a:xfrm>
        <a:prstGeom prst="rect">
          <a:avLst/>
        </a:prstGeom>
      </xdr:spPr>
    </xdr:pic>
    <xdr:clientData/>
  </xdr:twoCellAnchor>
  <xdr:twoCellAnchor editAs="absolute">
    <xdr:from>
      <xdr:col>3</xdr:col>
      <xdr:colOff>152400</xdr:colOff>
      <xdr:row>2</xdr:row>
      <xdr:rowOff>7620</xdr:rowOff>
    </xdr:from>
    <xdr:to>
      <xdr:col>5</xdr:col>
      <xdr:colOff>175260</xdr:colOff>
      <xdr:row>3</xdr:row>
      <xdr:rowOff>76200</xdr:rowOff>
    </xdr:to>
    <xdr:sp macro="" textlink="">
      <xdr:nvSpPr>
        <xdr:cNvPr id="60" name="TextBox 59">
          <a:extLst>
            <a:ext uri="{FF2B5EF4-FFF2-40B4-BE49-F238E27FC236}">
              <a16:creationId xmlns:a16="http://schemas.microsoft.com/office/drawing/2014/main" id="{46003D32-94A8-6133-B4AF-217705D524BF}"/>
            </a:ext>
          </a:extLst>
        </xdr:cNvPr>
        <xdr:cNvSpPr txBox="1"/>
      </xdr:nvSpPr>
      <xdr:spPr>
        <a:xfrm>
          <a:off x="1981200" y="37338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Monthly</a:t>
          </a:r>
          <a:r>
            <a:rPr lang="en-IN" sz="1200" baseline="0">
              <a:ln>
                <a:noFill/>
              </a:ln>
              <a:solidFill>
                <a:schemeClr val="dk1"/>
              </a:solidFill>
            </a:rPr>
            <a:t> Report</a:t>
          </a:r>
          <a:endParaRPr lang="en-IN" sz="1200">
            <a:ln>
              <a:noFill/>
            </a:ln>
            <a:solidFill>
              <a:schemeClr val="dk1"/>
            </a:solidFill>
          </a:endParaRPr>
        </a:p>
      </xdr:txBody>
    </xdr:sp>
    <xdr:clientData/>
  </xdr:twoCellAnchor>
  <xdr:twoCellAnchor editAs="absolute">
    <xdr:from>
      <xdr:col>11</xdr:col>
      <xdr:colOff>129540</xdr:colOff>
      <xdr:row>1</xdr:row>
      <xdr:rowOff>144780</xdr:rowOff>
    </xdr:from>
    <xdr:to>
      <xdr:col>13</xdr:col>
      <xdr:colOff>152400</xdr:colOff>
      <xdr:row>3</xdr:row>
      <xdr:rowOff>30480</xdr:rowOff>
    </xdr:to>
    <xdr:sp macro="" textlink="">
      <xdr:nvSpPr>
        <xdr:cNvPr id="62" name="TextBox 61">
          <a:extLst>
            <a:ext uri="{FF2B5EF4-FFF2-40B4-BE49-F238E27FC236}">
              <a16:creationId xmlns:a16="http://schemas.microsoft.com/office/drawing/2014/main" id="{F0D5A735-0819-EAB9-9D76-F955B85915EC}"/>
            </a:ext>
          </a:extLst>
        </xdr:cNvPr>
        <xdr:cNvSpPr txBox="1"/>
      </xdr:nvSpPr>
      <xdr:spPr>
        <a:xfrm>
          <a:off x="6835140" y="32766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Total</a:t>
          </a:r>
          <a:r>
            <a:rPr lang="en-IN" sz="1200" baseline="0">
              <a:ln>
                <a:noFill/>
              </a:ln>
              <a:solidFill>
                <a:schemeClr val="dk1"/>
              </a:solidFill>
            </a:rPr>
            <a:t> Patient</a:t>
          </a:r>
          <a:endParaRPr lang="en-IN" sz="1200">
            <a:ln>
              <a:noFill/>
            </a:ln>
            <a:solidFill>
              <a:schemeClr val="dk1"/>
            </a:solidFill>
          </a:endParaRPr>
        </a:p>
      </xdr:txBody>
    </xdr:sp>
    <xdr:clientData/>
  </xdr:twoCellAnchor>
  <xdr:twoCellAnchor editAs="absolute">
    <xdr:from>
      <xdr:col>15</xdr:col>
      <xdr:colOff>579120</xdr:colOff>
      <xdr:row>1</xdr:row>
      <xdr:rowOff>114300</xdr:rowOff>
    </xdr:from>
    <xdr:to>
      <xdr:col>18</xdr:col>
      <xdr:colOff>129540</xdr:colOff>
      <xdr:row>3</xdr:row>
      <xdr:rowOff>0</xdr:rowOff>
    </xdr:to>
    <xdr:sp macro="" textlink="">
      <xdr:nvSpPr>
        <xdr:cNvPr id="63" name="TextBox 62">
          <a:extLst>
            <a:ext uri="{FF2B5EF4-FFF2-40B4-BE49-F238E27FC236}">
              <a16:creationId xmlns:a16="http://schemas.microsoft.com/office/drawing/2014/main" id="{E13291FC-B2C8-B943-B985-84DED51AD683}"/>
            </a:ext>
          </a:extLst>
        </xdr:cNvPr>
        <xdr:cNvSpPr txBox="1"/>
      </xdr:nvSpPr>
      <xdr:spPr>
        <a:xfrm>
          <a:off x="9448800" y="297180"/>
          <a:ext cx="13792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Avgerage</a:t>
          </a:r>
          <a:r>
            <a:rPr lang="en-IN" sz="1200" baseline="0">
              <a:ln>
                <a:noFill/>
              </a:ln>
              <a:solidFill>
                <a:schemeClr val="dk1"/>
              </a:solidFill>
            </a:rPr>
            <a:t> Wait Time</a:t>
          </a:r>
          <a:endParaRPr lang="en-IN" sz="1200">
            <a:ln>
              <a:noFill/>
            </a:ln>
            <a:solidFill>
              <a:schemeClr val="dk1"/>
            </a:solidFill>
          </a:endParaRPr>
        </a:p>
      </xdr:txBody>
    </xdr:sp>
    <xdr:clientData/>
  </xdr:twoCellAnchor>
  <xdr:twoCellAnchor editAs="absolute">
    <xdr:from>
      <xdr:col>20</xdr:col>
      <xdr:colOff>68580</xdr:colOff>
      <xdr:row>1</xdr:row>
      <xdr:rowOff>137160</xdr:rowOff>
    </xdr:from>
    <xdr:to>
      <xdr:col>22</xdr:col>
      <xdr:colOff>563880</xdr:colOff>
      <xdr:row>3</xdr:row>
      <xdr:rowOff>22860</xdr:rowOff>
    </xdr:to>
    <xdr:sp macro="" textlink="">
      <xdr:nvSpPr>
        <xdr:cNvPr id="64" name="TextBox 63">
          <a:extLst>
            <a:ext uri="{FF2B5EF4-FFF2-40B4-BE49-F238E27FC236}">
              <a16:creationId xmlns:a16="http://schemas.microsoft.com/office/drawing/2014/main" id="{4C747EA1-E992-CA45-0E74-F2B459F0EE2F}"/>
            </a:ext>
          </a:extLst>
        </xdr:cNvPr>
        <xdr:cNvSpPr txBox="1"/>
      </xdr:nvSpPr>
      <xdr:spPr>
        <a:xfrm>
          <a:off x="11986260" y="320040"/>
          <a:ext cx="17145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r>
            <a:rPr lang="en-IN" sz="1200">
              <a:ln>
                <a:noFill/>
              </a:ln>
              <a:solidFill>
                <a:schemeClr val="dk1"/>
              </a:solidFill>
            </a:rPr>
            <a:t>Patient</a:t>
          </a:r>
          <a:r>
            <a:rPr lang="en-IN" sz="1200" baseline="0">
              <a:ln>
                <a:noFill/>
              </a:ln>
              <a:solidFill>
                <a:schemeClr val="dk1"/>
              </a:solidFill>
            </a:rPr>
            <a:t> Satisfaction Score</a:t>
          </a:r>
          <a:endParaRPr lang="en-IN" sz="1200">
            <a:ln>
              <a:noFill/>
            </a:ln>
            <a:solidFill>
              <a:schemeClr val="dk1"/>
            </a:solidFill>
          </a:endParaRPr>
        </a:p>
      </xdr:txBody>
    </xdr:sp>
    <xdr:clientData/>
  </xdr:twoCellAnchor>
  <xdr:twoCellAnchor editAs="absolute">
    <xdr:from>
      <xdr:col>11</xdr:col>
      <xdr:colOff>137160</xdr:colOff>
      <xdr:row>0</xdr:row>
      <xdr:rowOff>114300</xdr:rowOff>
    </xdr:from>
    <xdr:to>
      <xdr:col>13</xdr:col>
      <xdr:colOff>160020</xdr:colOff>
      <xdr:row>2</xdr:row>
      <xdr:rowOff>0</xdr:rowOff>
    </xdr:to>
    <xdr:sp macro="" textlink="'pivot report'!A16">
      <xdr:nvSpPr>
        <xdr:cNvPr id="66" name="TextBox 65">
          <a:extLst>
            <a:ext uri="{FF2B5EF4-FFF2-40B4-BE49-F238E27FC236}">
              <a16:creationId xmlns:a16="http://schemas.microsoft.com/office/drawing/2014/main" id="{4C88CC15-6250-ED9A-346B-3CADD63CAC97}"/>
            </a:ext>
          </a:extLst>
        </xdr:cNvPr>
        <xdr:cNvSpPr txBox="1"/>
      </xdr:nvSpPr>
      <xdr:spPr>
        <a:xfrm>
          <a:off x="6842760" y="11430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077C30E0-DB93-47F1-BE34-074BA3E9A8ED}" type="TxLink">
            <a:rPr lang="en-US" sz="1100" b="0" i="0" u="none" strike="noStrike">
              <a:ln>
                <a:noFill/>
              </a:ln>
              <a:solidFill>
                <a:srgbClr val="000000"/>
              </a:solidFill>
              <a:latin typeface="Calibri"/>
              <a:ea typeface="Calibri"/>
              <a:cs typeface="Calibri"/>
            </a:rPr>
            <a:pPr algn="ctr"/>
            <a:t>488</a:t>
          </a:fld>
          <a:endParaRPr lang="en-IN" sz="1200">
            <a:ln>
              <a:noFill/>
            </a:ln>
            <a:solidFill>
              <a:schemeClr val="dk1"/>
            </a:solidFill>
          </a:endParaRPr>
        </a:p>
      </xdr:txBody>
    </xdr:sp>
    <xdr:clientData/>
  </xdr:twoCellAnchor>
  <xdr:twoCellAnchor editAs="absolute">
    <xdr:from>
      <xdr:col>15</xdr:col>
      <xdr:colOff>548640</xdr:colOff>
      <xdr:row>0</xdr:row>
      <xdr:rowOff>91440</xdr:rowOff>
    </xdr:from>
    <xdr:to>
      <xdr:col>17</xdr:col>
      <xdr:colOff>571500</xdr:colOff>
      <xdr:row>1</xdr:row>
      <xdr:rowOff>160020</xdr:rowOff>
    </xdr:to>
    <xdr:sp macro="" textlink="'pivot report'!A21">
      <xdr:nvSpPr>
        <xdr:cNvPr id="77" name="TextBox 76">
          <a:extLst>
            <a:ext uri="{FF2B5EF4-FFF2-40B4-BE49-F238E27FC236}">
              <a16:creationId xmlns:a16="http://schemas.microsoft.com/office/drawing/2014/main" id="{65CC35FB-6E35-45BC-9B64-730D7370B8FF}"/>
            </a:ext>
          </a:extLst>
        </xdr:cNvPr>
        <xdr:cNvSpPr txBox="1"/>
      </xdr:nvSpPr>
      <xdr:spPr>
        <a:xfrm>
          <a:off x="9418320" y="9144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2A5572F8-479F-4B22-810F-061C0F44070F}" type="TxLink">
            <a:rPr lang="en-US" sz="1100" b="0" i="0" u="none" strike="noStrike">
              <a:ln>
                <a:noFill/>
              </a:ln>
              <a:solidFill>
                <a:srgbClr val="000000"/>
              </a:solidFill>
              <a:latin typeface="Calibri"/>
              <a:ea typeface="Calibri"/>
              <a:cs typeface="Calibri"/>
            </a:rPr>
            <a:pPr algn="ctr"/>
            <a:t>35.20</a:t>
          </a:fld>
          <a:endParaRPr lang="en-IN" sz="1200">
            <a:ln>
              <a:noFill/>
            </a:ln>
            <a:solidFill>
              <a:schemeClr val="dk1"/>
            </a:solidFill>
          </a:endParaRPr>
        </a:p>
      </xdr:txBody>
    </xdr:sp>
    <xdr:clientData/>
  </xdr:twoCellAnchor>
  <xdr:twoCellAnchor editAs="absolute">
    <xdr:from>
      <xdr:col>20</xdr:col>
      <xdr:colOff>205740</xdr:colOff>
      <xdr:row>0</xdr:row>
      <xdr:rowOff>99060</xdr:rowOff>
    </xdr:from>
    <xdr:to>
      <xdr:col>22</xdr:col>
      <xdr:colOff>228600</xdr:colOff>
      <xdr:row>1</xdr:row>
      <xdr:rowOff>167640</xdr:rowOff>
    </xdr:to>
    <xdr:sp macro="" textlink="'pivot report'!A26">
      <xdr:nvSpPr>
        <xdr:cNvPr id="78" name="TextBox 77">
          <a:extLst>
            <a:ext uri="{FF2B5EF4-FFF2-40B4-BE49-F238E27FC236}">
              <a16:creationId xmlns:a16="http://schemas.microsoft.com/office/drawing/2014/main" id="{72E9A690-B322-2AEF-0E42-855FACE90B28}"/>
            </a:ext>
          </a:extLst>
        </xdr:cNvPr>
        <xdr:cNvSpPr txBox="1"/>
      </xdr:nvSpPr>
      <xdr:spPr>
        <a:xfrm>
          <a:off x="12123420" y="99060"/>
          <a:ext cx="1242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lstStyle/>
        <a:p>
          <a:pPr algn="ctr"/>
          <a:fld id="{98A5D77C-94AA-4479-9B10-0904EFF0D8D1}" type="TxLink">
            <a:rPr lang="en-US" sz="1100" b="0" i="0" u="none" strike="noStrike">
              <a:ln>
                <a:noFill/>
              </a:ln>
              <a:solidFill>
                <a:srgbClr val="000000"/>
              </a:solidFill>
              <a:latin typeface="Calibri"/>
              <a:ea typeface="Calibri"/>
              <a:cs typeface="Calibri"/>
            </a:rPr>
            <a:pPr algn="ctr"/>
            <a:t>4.79</a:t>
          </a:fld>
          <a:endParaRPr lang="en-IN" sz="1200">
            <a:ln>
              <a:noFill/>
            </a:ln>
            <a:solidFill>
              <a:schemeClr val="dk1"/>
            </a:solidFill>
          </a:endParaRPr>
        </a:p>
      </xdr:txBody>
    </xdr:sp>
    <xdr:clientData/>
  </xdr:twoCellAnchor>
  <xdr:twoCellAnchor editAs="oneCell">
    <xdr:from>
      <xdr:col>18</xdr:col>
      <xdr:colOff>304800</xdr:colOff>
      <xdr:row>0</xdr:row>
      <xdr:rowOff>45720</xdr:rowOff>
    </xdr:from>
    <xdr:to>
      <xdr:col>19</xdr:col>
      <xdr:colOff>0</xdr:colOff>
      <xdr:row>1</xdr:row>
      <xdr:rowOff>167640</xdr:rowOff>
    </xdr:to>
    <xdr:pic>
      <xdr:nvPicPr>
        <xdr:cNvPr id="80" name="Graphic 79" descr="Stopwatch with solid fill">
          <a:extLst>
            <a:ext uri="{FF2B5EF4-FFF2-40B4-BE49-F238E27FC236}">
              <a16:creationId xmlns:a16="http://schemas.microsoft.com/office/drawing/2014/main" id="{BFCC3B4A-447A-E507-2A21-D141669F4E6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03280" y="45720"/>
          <a:ext cx="304800" cy="304800"/>
        </a:xfrm>
        <a:prstGeom prst="rect">
          <a:avLst/>
        </a:prstGeom>
      </xdr:spPr>
    </xdr:pic>
    <xdr:clientData/>
  </xdr:twoCellAnchor>
  <xdr:twoCellAnchor editAs="oneCell">
    <xdr:from>
      <xdr:col>13</xdr:col>
      <xdr:colOff>396240</xdr:colOff>
      <xdr:row>0</xdr:row>
      <xdr:rowOff>68580</xdr:rowOff>
    </xdr:from>
    <xdr:to>
      <xdr:col>14</xdr:col>
      <xdr:colOff>133643</xdr:colOff>
      <xdr:row>2</xdr:row>
      <xdr:rowOff>3556</xdr:rowOff>
    </xdr:to>
    <xdr:pic>
      <xdr:nvPicPr>
        <xdr:cNvPr id="82" name="Graphic 81" descr="User with solid fill">
          <a:extLst>
            <a:ext uri="{FF2B5EF4-FFF2-40B4-BE49-F238E27FC236}">
              <a16:creationId xmlns:a16="http://schemas.microsoft.com/office/drawing/2014/main" id="{DCA5CD79-8059-EF56-11A2-D213B1D293A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321040" y="68580"/>
          <a:ext cx="347003" cy="300736"/>
        </a:xfrm>
        <a:prstGeom prst="rect">
          <a:avLst/>
        </a:prstGeom>
      </xdr:spPr>
    </xdr:pic>
    <xdr:clientData/>
  </xdr:twoCellAnchor>
  <xdr:twoCellAnchor editAs="oneCell">
    <xdr:from>
      <xdr:col>22</xdr:col>
      <xdr:colOff>518160</xdr:colOff>
      <xdr:row>0</xdr:row>
      <xdr:rowOff>91440</xdr:rowOff>
    </xdr:from>
    <xdr:to>
      <xdr:col>23</xdr:col>
      <xdr:colOff>175260</xdr:colOff>
      <xdr:row>1</xdr:row>
      <xdr:rowOff>175260</xdr:rowOff>
    </xdr:to>
    <xdr:pic>
      <xdr:nvPicPr>
        <xdr:cNvPr id="84" name="Graphic 83" descr="Checklist with solid fill">
          <a:extLst>
            <a:ext uri="{FF2B5EF4-FFF2-40B4-BE49-F238E27FC236}">
              <a16:creationId xmlns:a16="http://schemas.microsoft.com/office/drawing/2014/main" id="{EC792407-F51E-75C1-D8FE-B6DCFB7193A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3655040" y="91440"/>
          <a:ext cx="266700" cy="266700"/>
        </a:xfrm>
        <a:prstGeom prst="rect">
          <a:avLst/>
        </a:prstGeom>
      </xdr:spPr>
    </xdr:pic>
    <xdr:clientData/>
  </xdr:twoCellAnchor>
  <xdr:twoCellAnchor editAs="oneCell">
    <xdr:from>
      <xdr:col>21</xdr:col>
      <xdr:colOff>106680</xdr:colOff>
      <xdr:row>6</xdr:row>
      <xdr:rowOff>53340</xdr:rowOff>
    </xdr:from>
    <xdr:to>
      <xdr:col>23</xdr:col>
      <xdr:colOff>282930</xdr:colOff>
      <xdr:row>27</xdr:row>
      <xdr:rowOff>106680</xdr:rowOff>
    </xdr:to>
    <mc:AlternateContent xmlns:mc="http://schemas.openxmlformats.org/markup-compatibility/2006" xmlns:a14="http://schemas.microsoft.com/office/drawing/2010/main">
      <mc:Choice Requires="a14">
        <xdr:graphicFrame macro="">
          <xdr:nvGraphicFramePr>
            <xdr:cNvPr id="86" name="Date (Month)">
              <a:extLst>
                <a:ext uri="{FF2B5EF4-FFF2-40B4-BE49-F238E27FC236}">
                  <a16:creationId xmlns:a16="http://schemas.microsoft.com/office/drawing/2014/main" id="{1E2C8491-C224-4FE2-9E2D-543BD3ED309F}"/>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2633960" y="1150620"/>
              <a:ext cx="1395450" cy="38938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175260</xdr:colOff>
      <xdr:row>2</xdr:row>
      <xdr:rowOff>0</xdr:rowOff>
    </xdr:from>
    <xdr:to>
      <xdr:col>14</xdr:col>
      <xdr:colOff>175260</xdr:colOff>
      <xdr:row>5</xdr:row>
      <xdr:rowOff>53340</xdr:rowOff>
    </xdr:to>
    <xdr:graphicFrame macro="">
      <xdr:nvGraphicFramePr>
        <xdr:cNvPr id="88" name="Chart 87">
          <a:hlinkClick xmlns:r="http://schemas.openxmlformats.org/officeDocument/2006/relationships" r:id="rId8"/>
          <a:extLst>
            <a:ext uri="{FF2B5EF4-FFF2-40B4-BE49-F238E27FC236}">
              <a16:creationId xmlns:a16="http://schemas.microsoft.com/office/drawing/2014/main" id="{351BAE7C-9DB3-4C98-9252-A0853205B6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0</xdr:colOff>
      <xdr:row>0</xdr:row>
      <xdr:rowOff>0</xdr:rowOff>
    </xdr:from>
    <xdr:to>
      <xdr:col>1</xdr:col>
      <xdr:colOff>7620</xdr:colOff>
      <xdr:row>1</xdr:row>
      <xdr:rowOff>7620</xdr:rowOff>
    </xdr:to>
    <xdr:pic>
      <xdr:nvPicPr>
        <xdr:cNvPr id="90" name="Picture 89">
          <a:extLst>
            <a:ext uri="{FF2B5EF4-FFF2-40B4-BE49-F238E27FC236}">
              <a16:creationId xmlns:a16="http://schemas.microsoft.com/office/drawing/2014/main" id="{59D939D3-EB04-6286-7C1E-F135A3314C8C}"/>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0"/>
          <a:ext cx="61722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1</xdr:col>
      <xdr:colOff>7620</xdr:colOff>
      <xdr:row>1</xdr:row>
      <xdr:rowOff>7620</xdr:rowOff>
    </xdr:to>
    <xdr:pic>
      <xdr:nvPicPr>
        <xdr:cNvPr id="91" name="Picture 90">
          <a:extLst>
            <a:ext uri="{FF2B5EF4-FFF2-40B4-BE49-F238E27FC236}">
              <a16:creationId xmlns:a16="http://schemas.microsoft.com/office/drawing/2014/main" id="{439C3AA0-1DD6-CD85-2CAF-8EFFA73688BB}"/>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0"/>
          <a:ext cx="61722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259080</xdr:colOff>
      <xdr:row>3</xdr:row>
      <xdr:rowOff>0</xdr:rowOff>
    </xdr:from>
    <xdr:to>
      <xdr:col>19</xdr:col>
      <xdr:colOff>91440</xdr:colOff>
      <xdr:row>5</xdr:row>
      <xdr:rowOff>53340</xdr:rowOff>
    </xdr:to>
    <xdr:graphicFrame macro="">
      <xdr:nvGraphicFramePr>
        <xdr:cNvPr id="92" name="Chart 91">
          <a:hlinkClick xmlns:r="http://schemas.openxmlformats.org/officeDocument/2006/relationships" r:id="rId11"/>
          <a:extLst>
            <a:ext uri="{FF2B5EF4-FFF2-40B4-BE49-F238E27FC236}">
              <a16:creationId xmlns:a16="http://schemas.microsoft.com/office/drawing/2014/main" id="{3A0D26FE-307D-44CF-BF74-106F3456A4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205740</xdr:colOff>
      <xdr:row>2</xdr:row>
      <xdr:rowOff>30480</xdr:rowOff>
    </xdr:from>
    <xdr:to>
      <xdr:col>23</xdr:col>
      <xdr:colOff>251460</xdr:colOff>
      <xdr:row>5</xdr:row>
      <xdr:rowOff>76200</xdr:rowOff>
    </xdr:to>
    <xdr:graphicFrame macro="">
      <xdr:nvGraphicFramePr>
        <xdr:cNvPr id="93" name="Chart 92">
          <a:hlinkClick xmlns:r="http://schemas.openxmlformats.org/officeDocument/2006/relationships" r:id="rId13"/>
          <a:extLst>
            <a:ext uri="{FF2B5EF4-FFF2-40B4-BE49-F238E27FC236}">
              <a16:creationId xmlns:a16="http://schemas.microsoft.com/office/drawing/2014/main" id="{AA63396B-6D2D-4030-8FE8-D80DBB65C7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10</xdr:col>
      <xdr:colOff>137160</xdr:colOff>
      <xdr:row>5</xdr:row>
      <xdr:rowOff>167640</xdr:rowOff>
    </xdr:from>
    <xdr:to>
      <xdr:col>20</xdr:col>
      <xdr:colOff>472440</xdr:colOff>
      <xdr:row>11</xdr:row>
      <xdr:rowOff>0</xdr:rowOff>
    </xdr:to>
    <xdr:pic>
      <xdr:nvPicPr>
        <xdr:cNvPr id="10" name="Picture 9">
          <a:extLst>
            <a:ext uri="{FF2B5EF4-FFF2-40B4-BE49-F238E27FC236}">
              <a16:creationId xmlns:a16="http://schemas.microsoft.com/office/drawing/2014/main" id="{162645AA-15CF-0800-033B-E3A62EDF6FCD}"/>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233160" y="1082040"/>
          <a:ext cx="6156960" cy="929640"/>
        </a:xfrm>
        <a:prstGeom prst="rect">
          <a:avLst/>
        </a:prstGeom>
        <a:noFill/>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175260</xdr:colOff>
      <xdr:row>17</xdr:row>
      <xdr:rowOff>76200</xdr:rowOff>
    </xdr:from>
    <xdr:to>
      <xdr:col>9</xdr:col>
      <xdr:colOff>586740</xdr:colOff>
      <xdr:row>26</xdr:row>
      <xdr:rowOff>99060</xdr:rowOff>
    </xdr:to>
    <xdr:graphicFrame macro="">
      <xdr:nvGraphicFramePr>
        <xdr:cNvPr id="14" name="Chart 13">
          <a:extLst>
            <a:ext uri="{FF2B5EF4-FFF2-40B4-BE49-F238E27FC236}">
              <a16:creationId xmlns:a16="http://schemas.microsoft.com/office/drawing/2014/main" id="{24FC7F98-2ABD-4C1E-82A0-54653240A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441960</xdr:colOff>
      <xdr:row>26</xdr:row>
      <xdr:rowOff>91440</xdr:rowOff>
    </xdr:from>
    <xdr:to>
      <xdr:col>5</xdr:col>
      <xdr:colOff>563880</xdr:colOff>
      <xdr:row>27</xdr:row>
      <xdr:rowOff>114300</xdr:rowOff>
    </xdr:to>
    <xdr:sp macro="" textlink="">
      <xdr:nvSpPr>
        <xdr:cNvPr id="20" name="TextBox 19">
          <a:extLst>
            <a:ext uri="{FF2B5EF4-FFF2-40B4-BE49-F238E27FC236}">
              <a16:creationId xmlns:a16="http://schemas.microsoft.com/office/drawing/2014/main" id="{1DB58529-9D54-FDEC-64E9-7B7A1FBA9282}"/>
            </a:ext>
          </a:extLst>
        </xdr:cNvPr>
        <xdr:cNvSpPr txBox="1"/>
      </xdr:nvSpPr>
      <xdr:spPr>
        <a:xfrm>
          <a:off x="1661160" y="4846320"/>
          <a:ext cx="195072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No</a:t>
          </a:r>
          <a:r>
            <a:rPr lang="en-IN" sz="1100" baseline="0"/>
            <a:t> Of Patient by  Age Group</a:t>
          </a:r>
          <a:endParaRPr lang="en-IN" sz="1100"/>
        </a:p>
      </xdr:txBody>
    </xdr:sp>
    <xdr:clientData/>
  </xdr:twoCellAnchor>
  <xdr:twoCellAnchor>
    <xdr:from>
      <xdr:col>5</xdr:col>
      <xdr:colOff>182880</xdr:colOff>
      <xdr:row>4</xdr:row>
      <xdr:rowOff>53340</xdr:rowOff>
    </xdr:from>
    <xdr:to>
      <xdr:col>9</xdr:col>
      <xdr:colOff>579120</xdr:colOff>
      <xdr:row>16</xdr:row>
      <xdr:rowOff>45720</xdr:rowOff>
    </xdr:to>
    <xdr:graphicFrame macro="">
      <xdr:nvGraphicFramePr>
        <xdr:cNvPr id="24" name="Chart 23">
          <a:extLst>
            <a:ext uri="{FF2B5EF4-FFF2-40B4-BE49-F238E27FC236}">
              <a16:creationId xmlns:a16="http://schemas.microsoft.com/office/drawing/2014/main" id="{888896A0-1436-44D6-8CBC-B160E23696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312420</xdr:colOff>
      <xdr:row>15</xdr:row>
      <xdr:rowOff>53340</xdr:rowOff>
    </xdr:from>
    <xdr:to>
      <xdr:col>8</xdr:col>
      <xdr:colOff>533400</xdr:colOff>
      <xdr:row>16</xdr:row>
      <xdr:rowOff>83820</xdr:rowOff>
    </xdr:to>
    <xdr:sp macro="" textlink="">
      <xdr:nvSpPr>
        <xdr:cNvPr id="26" name="TextBox 25">
          <a:extLst>
            <a:ext uri="{FF2B5EF4-FFF2-40B4-BE49-F238E27FC236}">
              <a16:creationId xmlns:a16="http://schemas.microsoft.com/office/drawing/2014/main" id="{44701C69-AD6A-FC4A-9ABA-3FF8257FAC6A}"/>
            </a:ext>
          </a:extLst>
        </xdr:cNvPr>
        <xdr:cNvSpPr txBox="1"/>
      </xdr:nvSpPr>
      <xdr:spPr>
        <a:xfrm>
          <a:off x="3970020" y="2796540"/>
          <a:ext cx="144018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Patient</a:t>
          </a:r>
          <a:r>
            <a:rPr lang="en-IN" sz="1100" baseline="0"/>
            <a:t> Attend Status</a:t>
          </a:r>
          <a:endParaRPr lang="en-IN" sz="1100"/>
        </a:p>
      </xdr:txBody>
    </xdr:sp>
    <xdr:clientData/>
  </xdr:twoCellAnchor>
  <xdr:twoCellAnchor>
    <xdr:from>
      <xdr:col>10</xdr:col>
      <xdr:colOff>99060</xdr:colOff>
      <xdr:row>12</xdr:row>
      <xdr:rowOff>60960</xdr:rowOff>
    </xdr:from>
    <xdr:to>
      <xdr:col>20</xdr:col>
      <xdr:colOff>350520</xdr:colOff>
      <xdr:row>27</xdr:row>
      <xdr:rowOff>114300</xdr:rowOff>
    </xdr:to>
    <xdr:graphicFrame macro="">
      <xdr:nvGraphicFramePr>
        <xdr:cNvPr id="3" name="Chart 2">
          <a:extLst>
            <a:ext uri="{FF2B5EF4-FFF2-40B4-BE49-F238E27FC236}">
              <a16:creationId xmlns:a16="http://schemas.microsoft.com/office/drawing/2014/main" id="{95EE708C-7C0D-4E43-810E-DD1C6134D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160020</xdr:colOff>
      <xdr:row>4</xdr:row>
      <xdr:rowOff>106680</xdr:rowOff>
    </xdr:from>
    <xdr:to>
      <xdr:col>4</xdr:col>
      <xdr:colOff>601980</xdr:colOff>
      <xdr:row>15</xdr:row>
      <xdr:rowOff>76200</xdr:rowOff>
    </xdr:to>
    <xdr:graphicFrame macro="">
      <xdr:nvGraphicFramePr>
        <xdr:cNvPr id="5" name="Chart 4">
          <a:extLst>
            <a:ext uri="{FF2B5EF4-FFF2-40B4-BE49-F238E27FC236}">
              <a16:creationId xmlns:a16="http://schemas.microsoft.com/office/drawing/2014/main" id="{CA3B4944-CBE5-4B7A-89AE-CDB6317702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243840</xdr:colOff>
      <xdr:row>15</xdr:row>
      <xdr:rowOff>45720</xdr:rowOff>
    </xdr:from>
    <xdr:to>
      <xdr:col>3</xdr:col>
      <xdr:colOff>464820</xdr:colOff>
      <xdr:row>16</xdr:row>
      <xdr:rowOff>76200</xdr:rowOff>
    </xdr:to>
    <xdr:sp macro="" textlink="">
      <xdr:nvSpPr>
        <xdr:cNvPr id="6" name="TextBox 5">
          <a:extLst>
            <a:ext uri="{FF2B5EF4-FFF2-40B4-BE49-F238E27FC236}">
              <a16:creationId xmlns:a16="http://schemas.microsoft.com/office/drawing/2014/main" id="{CDC60C19-4D64-45D2-910C-EC0370324B28}"/>
            </a:ext>
          </a:extLst>
        </xdr:cNvPr>
        <xdr:cNvSpPr txBox="1"/>
      </xdr:nvSpPr>
      <xdr:spPr>
        <a:xfrm>
          <a:off x="853440" y="2788920"/>
          <a:ext cx="144018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Genderwise</a:t>
          </a:r>
          <a:r>
            <a:rPr lang="en-IN" sz="1100" baseline="0"/>
            <a:t> Analysis</a:t>
          </a:r>
          <a:endParaRPr lang="en-IN" sz="1100"/>
        </a:p>
      </xdr:txBody>
    </xdr:sp>
    <xdr:clientData/>
  </xdr:twoCellAnchor>
  <xdr:twoCellAnchor editAs="oneCell">
    <xdr:from>
      <xdr:col>7</xdr:col>
      <xdr:colOff>60960</xdr:colOff>
      <xdr:row>0</xdr:row>
      <xdr:rowOff>68580</xdr:rowOff>
    </xdr:from>
    <xdr:to>
      <xdr:col>10</xdr:col>
      <xdr:colOff>60960</xdr:colOff>
      <xdr:row>4</xdr:row>
      <xdr:rowOff>30480</xdr:rowOff>
    </xdr:to>
    <mc:AlternateContent xmlns:mc="http://schemas.openxmlformats.org/markup-compatibility/2006">
      <mc:Choice xmlns:a14="http://schemas.microsoft.com/office/drawing/2010/main" Requires="a14">
        <xdr:graphicFrame macro="">
          <xdr:nvGraphicFramePr>
            <xdr:cNvPr id="28" name="Date (Year) 1">
              <a:extLst>
                <a:ext uri="{FF2B5EF4-FFF2-40B4-BE49-F238E27FC236}">
                  <a16:creationId xmlns:a16="http://schemas.microsoft.com/office/drawing/2014/main" id="{75467D91-05E1-4F93-ABC0-8E554E8AB97B}"/>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dr:sp macro="" textlink="">
          <xdr:nvSpPr>
            <xdr:cNvPr id="0" name=""/>
            <xdr:cNvSpPr>
              <a:spLocks noTextEdit="1"/>
            </xdr:cNvSpPr>
          </xdr:nvSpPr>
          <xdr:spPr>
            <a:xfrm>
              <a:off x="4328160" y="68580"/>
              <a:ext cx="1828800" cy="6934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0.39481</cdr:x>
      <cdr:y>0.92098</cdr:y>
    </cdr:from>
    <cdr:to>
      <cdr:x>0.79548</cdr:x>
      <cdr:y>1</cdr:y>
    </cdr:to>
    <cdr:sp macro="" textlink="">
      <cdr:nvSpPr>
        <cdr:cNvPr id="2" name="TextBox 19">
          <a:extLst xmlns:a="http://schemas.openxmlformats.org/drawingml/2006/main">
            <a:ext uri="{FF2B5EF4-FFF2-40B4-BE49-F238E27FC236}">
              <a16:creationId xmlns:a16="http://schemas.microsoft.com/office/drawing/2014/main" id="{1DB58529-9D54-FDEC-64E9-7B7A1FBA9282}"/>
            </a:ext>
          </a:extLst>
        </cdr:cNvPr>
        <cdr:cNvSpPr txBox="1"/>
      </cdr:nvSpPr>
      <cdr:spPr>
        <a:xfrm xmlns:a="http://schemas.openxmlformats.org/drawingml/2006/main">
          <a:off x="2397760" y="2575560"/>
          <a:ext cx="2433320" cy="22098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100"/>
            <a:t>No</a:t>
          </a:r>
          <a:r>
            <a:rPr lang="en-IN" sz="1100" baseline="0"/>
            <a:t> Of Patitent by Department Referal</a:t>
          </a:r>
          <a:endParaRPr lang="en-IN" sz="1100"/>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160020</xdr:colOff>
      <xdr:row>5</xdr:row>
      <xdr:rowOff>53340</xdr:rowOff>
    </xdr:from>
    <xdr:to>
      <xdr:col>18</xdr:col>
      <xdr:colOff>167640</xdr:colOff>
      <xdr:row>20</xdr:row>
      <xdr:rowOff>53340</xdr:rowOff>
    </xdr:to>
    <xdr:graphicFrame macro="">
      <xdr:nvGraphicFramePr>
        <xdr:cNvPr id="2" name="Chart 1">
          <a:extLst>
            <a:ext uri="{FF2B5EF4-FFF2-40B4-BE49-F238E27FC236}">
              <a16:creationId xmlns:a16="http://schemas.microsoft.com/office/drawing/2014/main" id="{F26448BC-0B5B-4E83-9193-3C5183572A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297180</xdr:colOff>
      <xdr:row>20</xdr:row>
      <xdr:rowOff>99060</xdr:rowOff>
    </xdr:from>
    <xdr:to>
      <xdr:col>17</xdr:col>
      <xdr:colOff>586740</xdr:colOff>
      <xdr:row>22</xdr:row>
      <xdr:rowOff>15240</xdr:rowOff>
    </xdr:to>
    <xdr:sp macro="" textlink="">
      <xdr:nvSpPr>
        <xdr:cNvPr id="3" name="TextBox 2">
          <a:extLst>
            <a:ext uri="{FF2B5EF4-FFF2-40B4-BE49-F238E27FC236}">
              <a16:creationId xmlns:a16="http://schemas.microsoft.com/office/drawing/2014/main" id="{905D8170-3D56-8EBA-DCD0-0D1C65FE409E}"/>
            </a:ext>
          </a:extLst>
        </xdr:cNvPr>
        <xdr:cNvSpPr txBox="1"/>
      </xdr:nvSpPr>
      <xdr:spPr>
        <a:xfrm>
          <a:off x="2735580" y="3756660"/>
          <a:ext cx="8214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showing</a:t>
          </a:r>
          <a:r>
            <a:rPr lang="en-IN" sz="1100" baseline="0">
              <a:solidFill>
                <a:schemeClr val="dk1"/>
              </a:solidFill>
              <a:effectLst/>
              <a:latin typeface="+mn-lt"/>
              <a:ea typeface="+mn-ea"/>
              <a:cs typeface="+mn-cs"/>
            </a:rPr>
            <a:t> a daily trend with an area spakline to spot patterns like patient avg wait time</a:t>
          </a:r>
          <a:endParaRPr lang="en-IN" sz="1100"/>
        </a:p>
      </xdr:txBody>
    </xdr:sp>
    <xdr:clientData/>
  </xdr:twoCellAnchor>
  <xdr:twoCellAnchor editAs="oneCell">
    <xdr:from>
      <xdr:col>4</xdr:col>
      <xdr:colOff>228600</xdr:colOff>
      <xdr:row>5</xdr:row>
      <xdr:rowOff>38100</xdr:rowOff>
    </xdr:from>
    <xdr:to>
      <xdr:col>5</xdr:col>
      <xdr:colOff>129540</xdr:colOff>
      <xdr:row>8</xdr:row>
      <xdr:rowOff>0</xdr:rowOff>
    </xdr:to>
    <xdr:pic>
      <xdr:nvPicPr>
        <xdr:cNvPr id="5" name="Graphic 4" descr="House with solid fill">
          <a:hlinkClick xmlns:r="http://schemas.openxmlformats.org/officeDocument/2006/relationships" r:id="rId2"/>
          <a:extLst>
            <a:ext uri="{FF2B5EF4-FFF2-40B4-BE49-F238E27FC236}">
              <a16:creationId xmlns:a16="http://schemas.microsoft.com/office/drawing/2014/main" id="{C43D0E49-8859-F796-A49B-C877D64D39E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667000" y="952500"/>
          <a:ext cx="510540" cy="51054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548640</xdr:colOff>
      <xdr:row>4</xdr:row>
      <xdr:rowOff>45720</xdr:rowOff>
    </xdr:from>
    <xdr:to>
      <xdr:col>17</xdr:col>
      <xdr:colOff>114300</xdr:colOff>
      <xdr:row>19</xdr:row>
      <xdr:rowOff>22860</xdr:rowOff>
    </xdr:to>
    <xdr:graphicFrame macro="">
      <xdr:nvGraphicFramePr>
        <xdr:cNvPr id="3" name="Chart 2">
          <a:extLst>
            <a:ext uri="{FF2B5EF4-FFF2-40B4-BE49-F238E27FC236}">
              <a16:creationId xmlns:a16="http://schemas.microsoft.com/office/drawing/2014/main" id="{8AEB5CBA-E0F9-4E50-8CF4-CF103F287C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83820</xdr:colOff>
      <xdr:row>19</xdr:row>
      <xdr:rowOff>91440</xdr:rowOff>
    </xdr:from>
    <xdr:to>
      <xdr:col>16</xdr:col>
      <xdr:colOff>601980</xdr:colOff>
      <xdr:row>20</xdr:row>
      <xdr:rowOff>114300</xdr:rowOff>
    </xdr:to>
    <xdr:sp macro="" textlink="">
      <xdr:nvSpPr>
        <xdr:cNvPr id="4" name="TextBox 3">
          <a:extLst>
            <a:ext uri="{FF2B5EF4-FFF2-40B4-BE49-F238E27FC236}">
              <a16:creationId xmlns:a16="http://schemas.microsoft.com/office/drawing/2014/main" id="{7DDE2491-D645-C7A9-6AB7-BB95E25CFA0F}"/>
            </a:ext>
          </a:extLst>
        </xdr:cNvPr>
        <xdr:cNvSpPr txBox="1"/>
      </xdr:nvSpPr>
      <xdr:spPr>
        <a:xfrm>
          <a:off x="2522220" y="3566160"/>
          <a:ext cx="783336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showing</a:t>
          </a:r>
          <a:r>
            <a:rPr lang="en-IN" sz="1100" baseline="0"/>
            <a:t> a daily trend with an area spakline to spot patterns like busy days or seasonal trend</a:t>
          </a:r>
          <a:endParaRPr lang="en-IN" sz="1100"/>
        </a:p>
      </xdr:txBody>
    </xdr:sp>
    <xdr:clientData/>
  </xdr:twoCellAnchor>
  <xdr:twoCellAnchor editAs="oneCell">
    <xdr:from>
      <xdr:col>3</xdr:col>
      <xdr:colOff>579120</xdr:colOff>
      <xdr:row>4</xdr:row>
      <xdr:rowOff>22860</xdr:rowOff>
    </xdr:from>
    <xdr:to>
      <xdr:col>5</xdr:col>
      <xdr:colOff>7620</xdr:colOff>
      <xdr:row>7</xdr:row>
      <xdr:rowOff>121920</xdr:rowOff>
    </xdr:to>
    <xdr:pic>
      <xdr:nvPicPr>
        <xdr:cNvPr id="6" name="Graphic 5" descr="House with solid fill">
          <a:hlinkClick xmlns:r="http://schemas.openxmlformats.org/officeDocument/2006/relationships" r:id="rId2"/>
          <a:extLst>
            <a:ext uri="{FF2B5EF4-FFF2-40B4-BE49-F238E27FC236}">
              <a16:creationId xmlns:a16="http://schemas.microsoft.com/office/drawing/2014/main" id="{C3AF72A1-FB23-60E5-AC0F-D1754FA0595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407920" y="754380"/>
          <a:ext cx="647700" cy="647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381000</xdr:colOff>
      <xdr:row>9</xdr:row>
      <xdr:rowOff>0</xdr:rowOff>
    </xdr:from>
    <xdr:to>
      <xdr:col>17</xdr:col>
      <xdr:colOff>449580</xdr:colOff>
      <xdr:row>24</xdr:row>
      <xdr:rowOff>0</xdr:rowOff>
    </xdr:to>
    <xdr:graphicFrame macro="">
      <xdr:nvGraphicFramePr>
        <xdr:cNvPr id="4" name="Chart 3">
          <a:extLst>
            <a:ext uri="{FF2B5EF4-FFF2-40B4-BE49-F238E27FC236}">
              <a16:creationId xmlns:a16="http://schemas.microsoft.com/office/drawing/2014/main" id="{D54B8678-6168-465C-9471-6029F820E7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403860</xdr:colOff>
      <xdr:row>24</xdr:row>
      <xdr:rowOff>106680</xdr:rowOff>
    </xdr:from>
    <xdr:to>
      <xdr:col>17</xdr:col>
      <xdr:colOff>426720</xdr:colOff>
      <xdr:row>25</xdr:row>
      <xdr:rowOff>175260</xdr:rowOff>
    </xdr:to>
    <xdr:sp macro="" textlink="">
      <xdr:nvSpPr>
        <xdr:cNvPr id="5" name="TextBox 4">
          <a:extLst>
            <a:ext uri="{FF2B5EF4-FFF2-40B4-BE49-F238E27FC236}">
              <a16:creationId xmlns:a16="http://schemas.microsoft.com/office/drawing/2014/main" id="{337A30A4-A1D5-E36B-186E-5C8A495549AB}"/>
            </a:ext>
          </a:extLst>
        </xdr:cNvPr>
        <xdr:cNvSpPr txBox="1"/>
      </xdr:nvSpPr>
      <xdr:spPr>
        <a:xfrm>
          <a:off x="2842260" y="4495800"/>
          <a:ext cx="79476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showing</a:t>
          </a:r>
          <a:r>
            <a:rPr lang="en-IN" sz="1100" baseline="0">
              <a:solidFill>
                <a:schemeClr val="dk1"/>
              </a:solidFill>
              <a:effectLst/>
              <a:latin typeface="+mn-lt"/>
              <a:ea typeface="+mn-ea"/>
              <a:cs typeface="+mn-cs"/>
            </a:rPr>
            <a:t> a daily trend with an area spakline to spot patterns like agerage satisfaction score</a:t>
          </a:r>
        </a:p>
        <a:p>
          <a:pPr marL="0" marR="0" lvl="0" indent="0" defTabSz="914400" eaLnBrk="1" fontAlgn="auto" latinLnBrk="0" hangingPunct="1">
            <a:lnSpc>
              <a:spcPct val="100000"/>
            </a:lnSpc>
            <a:spcBef>
              <a:spcPts val="0"/>
            </a:spcBef>
            <a:spcAft>
              <a:spcPts val="0"/>
            </a:spcAft>
            <a:buClrTx/>
            <a:buSzTx/>
            <a:buFontTx/>
            <a:buNone/>
            <a:tabLst/>
            <a:defRPr/>
          </a:pPr>
          <a:endParaRPr lang="en-IN">
            <a:effectLst/>
          </a:endParaRPr>
        </a:p>
        <a:p>
          <a:endParaRPr lang="en-IN"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cdr:x>
      <cdr:y>0</cdr:y>
    </cdr:from>
    <cdr:to>
      <cdr:x>0.08198</cdr:x>
      <cdr:y>0.23889</cdr:y>
    </cdr:to>
    <cdr:pic>
      <cdr:nvPicPr>
        <cdr:cNvPr id="3" name="Graphic 2" descr="Hous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63E46CDC-1017-7A3B-55BF-58515DF452D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655320" cy="65532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1689818" backgroundQuery="1" createdVersion="8" refreshedVersion="8" minRefreshableVersion="3" recordCount="0" supportSubquery="1" supportAdvancedDrill="1" xr:uid="{7936BDE2-D126-4F03-B545-12BF192BED46}">
  <cacheSource type="external" connectionId="3"/>
  <cacheFields count="2">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unt="1">
        <s v="2024"/>
      </sharedItems>
    </cacheField>
  </cacheFields>
  <cacheHierarchies count="36">
    <cacheHierarchy uniqueName="[Calender_table].[Date]" caption="Date" attribute="1" time="1" defaultMemberUniqueName="[Calender_table].[Date].[All]" allUniqueName="[Calender_table].[Date].[All]" dimensionUniqueName="[Calender_table]" displayFolder="" count="2"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1"/>
      </fieldsUsage>
    </cacheHierarchy>
    <cacheHierarchy uniqueName="[Calender_table].[Date (Quarter)]" caption="Date (Quarter)" attribute="1" defaultMemberUniqueName="[Calender_table].[Date (Quarter)].[All]" allUniqueName="[Calender_table].[Date (Quarter)].[All]" dimensionUniqueName="[Calender_table]" displayFolder="" count="2"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2"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2" memberValueDatatype="130" unbalanced="0"/>
    <cacheHierarchy uniqueName="[Calender_table].[Date (Day Index)]" caption="Date (Day Index)" attribute="1" defaultMemberUniqueName="[Calender_table].[Date (Day Index)].[All]" allUniqueName="[Calender_table].[Date (Day Index)].[All]" dimensionUniqueName="[Calender_table]" displayFolder="" count="2"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215278" backgroundQuery="1" createdVersion="8" refreshedVersion="8" minRefreshableVersion="3" recordCount="0" supportSubquery="1" supportAdvancedDrill="1" xr:uid="{01B34CA0-89BA-458F-BCA4-ACBD9C1B68EC}">
  <cacheSource type="external" connectionId="3"/>
  <cacheFields count="4">
    <cacheField name="[Measures].[Count of Patient Id]" caption="Count of Patient Id" numFmtId="0" hierarchy="23" level="32767"/>
    <cacheField name="[Hospital Emergency Room Data].[Age_group].[Age_group]" caption="Age_group" numFmtId="0" hierarchy="16" level="1">
      <sharedItems count="8">
        <s v="0-9"/>
        <s v="10-19"/>
        <s v="20-29"/>
        <s v="30-39"/>
        <s v="40-49"/>
        <s v="50-59"/>
        <s v="60-69"/>
        <s v="70-79"/>
      </sharedItems>
    </cacheField>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2"/>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2" memberValueDatatype="130" unbalanced="0">
      <fieldsUsage count="2">
        <fieldUsage x="-1"/>
        <fieldUsage x="1"/>
      </fieldsUsage>
    </cacheHierarchy>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273148" backgroundQuery="1" createdVersion="8" refreshedVersion="8" minRefreshableVersion="3" recordCount="0" supportSubquery="1" supportAdvancedDrill="1" xr:uid="{DF79239F-33E1-4A03-AD61-5270BC8E4485}">
  <cacheSource type="external" connectionId="3"/>
  <cacheFields count="4">
    <cacheField name="[Calender_table].[Date (Month)].[Date (Month)]" caption="Date (Month)" numFmtId="0" hierarchy="3" level="1">
      <sharedItems containsSemiMixedTypes="0" containsNonDate="0" containsString="0"/>
    </cacheField>
    <cacheField name="[Hospital Emergency Room Data].[Age_group].[Age_group]" caption="Age_group" numFmtId="0" hierarchy="16" level="1">
      <sharedItems count="8">
        <s v="0-9"/>
        <s v="10-19"/>
        <s v="20-29"/>
        <s v="30-39"/>
        <s v="40-49"/>
        <s v="50-59"/>
        <s v="60-69"/>
        <s v="70-79"/>
      </sharedItems>
    </cacheField>
    <cacheField name="[Measures].[Count of Age_group]" caption="Count of Age_group" numFmtId="0" hierarchy="32"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2" memberValueDatatype="130" unbalanced="0">
      <fieldsUsage count="2">
        <fieldUsage x="-1"/>
        <fieldUsage x="1"/>
      </fieldsUsage>
    </cacheHierarchy>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3078704" backgroundQuery="1" createdVersion="8" refreshedVersion="8" minRefreshableVersion="3" recordCount="0" supportSubquery="1" supportAdvancedDrill="1" xr:uid="{654C24B6-FCF4-4F44-9254-FFDF5A23A0A4}">
  <cacheSource type="external" connectionId="3"/>
  <cacheFields count="4">
    <cacheField name="[Calender_table].[Date (Month)].[Date (Month)]" caption="Date (Month)" numFmtId="0" hierarchy="3" level="1">
      <sharedItems containsSemiMixedTypes="0" containsNonDate="0" containsString="0"/>
    </cacheField>
    <cacheField name="[Hospital Emergency Room Data].[Patient_attend_status].[Patient_attend_status]" caption="Patient_attend_status" numFmtId="0" hierarchy="17" level="1">
      <sharedItems count="2">
        <s v="Delay"/>
        <s v="Ontime"/>
      </sharedItems>
    </cacheField>
    <cacheField name="[Measures].[Count of Patient_attend_status]" caption="Count of Patient_attend_status" numFmtId="0" hierarchy="33"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2" memberValueDatatype="130" unbalanced="0">
      <fieldsUsage count="2">
        <fieldUsage x="-1"/>
        <fieldUsage x="1"/>
      </fieldsUsage>
    </cacheHierarchy>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3425927" backgroundQuery="1" createdVersion="8" refreshedVersion="8" minRefreshableVersion="3" recordCount="0" supportSubquery="1" supportAdvancedDrill="1" xr:uid="{27340AE6-1154-4D07-A3B5-5F66B37C2BBE}">
  <cacheSource type="external" connectionId="3"/>
  <cacheFields count="4">
    <cacheField name="[Calender_table].[Date (Month)].[Date (Month)]" caption="Date (Month)" numFmtId="0" hierarchy="3" level="1">
      <sharedItems containsSemiMixedTypes="0" containsNonDate="0" containsString="0"/>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4"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3888889" backgroundQuery="1" createdVersion="8" refreshedVersion="8" minRefreshableVersion="3" recordCount="0" supportSubquery="1" supportAdvancedDrill="1" xr:uid="{B02341E1-AF47-42A6-B836-BA2EEC221E41}">
  <cacheSource type="external" connectionId="3"/>
  <cacheFields count="4">
    <cacheField name="[Calender_table].[Date (Month)].[Date (Month)]" caption="Date (Month)" numFmtId="0" hierarchy="3"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5"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4004627" backgroundQuery="1" createdVersion="8" refreshedVersion="8" minRefreshableVersion="3" recordCount="0" supportSubquery="1" supportAdvancedDrill="1" xr:uid="{7175DB71-F1B4-4C08-92C1-22F045731AEA}">
  <cacheSource type="external" connectionId="3"/>
  <cacheFields count="3">
    <cacheField name="[Measures].[Count of Patient Id]" caption="Count of Patient Id" numFmtId="0" hierarchy="23" level="32767"/>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4236112" backgroundQuery="1" createdVersion="8" refreshedVersion="8" minRefreshableVersion="3" recordCount="0" supportSubquery="1" supportAdvancedDrill="1" xr:uid="{ECB0A5BD-7C4C-4B17-BEBB-44E044807219}">
  <cacheSource type="external" connectionId="3"/>
  <cacheFields count="3">
    <cacheField name="[Measures].[Average of Patient Waittime]" caption="Average of Patient Waittime" numFmtId="0" hierarchy="25" level="32767"/>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4467589" backgroundQuery="1" createdVersion="8" refreshedVersion="8" minRefreshableVersion="3" recordCount="0" supportSubquery="1" supportAdvancedDrill="1" xr:uid="{EFDE0D1C-AE89-4728-9C6F-F9572732EB11}">
  <cacheSource type="external" connectionId="3"/>
  <cacheFields count="3">
    <cacheField name="[Measures].[Average of Patient Satisfaction Score]" caption="Average of Patient Satisfaction Score" numFmtId="0" hierarchy="27" level="32767"/>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5046297" backgroundQuery="1" createdVersion="8" refreshedVersion="8" minRefreshableVersion="3" recordCount="0" supportSubquery="1" supportAdvancedDrill="1" xr:uid="{044E5332-CDBF-4EE0-BEFF-610D6C0B9BBE}">
  <cacheSource type="external" connectionId="3"/>
  <cacheFields count="4">
    <cacheField name="[Measures].[Count of Patient Id]" caption="Count of Patient Id" numFmtId="0" hierarchy="23" level="32767"/>
    <cacheField name="[Calender_table].[Date (Day)].[Date (Day)]" caption="Date (Day)" numFmtId="0" hierarchy="4" level="1">
      <sharedItems count="31">
        <s v="1-Jul"/>
        <s v="2-Jul"/>
        <s v="3-Jul"/>
        <s v="4-Jul"/>
        <s v="5-Jul"/>
        <s v="6-Jul"/>
        <s v="7-Jul"/>
        <s v="8-Jul"/>
        <s v="9-Jul"/>
        <s v="10-Jul"/>
        <s v="11-Jul"/>
        <s v="12-Jul"/>
        <s v="13-Jul"/>
        <s v="14-Jul"/>
        <s v="15-Jul"/>
        <s v="16-Jul"/>
        <s v="17-Jul"/>
        <s v="18-Jul"/>
        <s v="19-Jul"/>
        <s v="20-Jul"/>
        <s v="21-Jul"/>
        <s v="22-Jul"/>
        <s v="23-Jul"/>
        <s v="24-Jul"/>
        <s v="25-Jul"/>
        <s v="26-Jul"/>
        <s v="27-Jul"/>
        <s v="28-Jul"/>
        <s v="29-Jul"/>
        <s v="30-Jul"/>
        <s v="31-Jul"/>
      </sharedItems>
    </cacheField>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2"/>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1"/>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5624998" backgroundQuery="1" createdVersion="8" refreshedVersion="8" minRefreshableVersion="3" recordCount="0" supportSubquery="1" supportAdvancedDrill="1" xr:uid="{71820388-A61C-4078-9D13-399D4866F9A4}">
  <cacheSource type="external" connectionId="3"/>
  <cacheFields count="4">
    <cacheField name="[Calender_table].[Date (Day)].[Date (Day)]" caption="Date (Day)" numFmtId="0" hierarchy="4" level="1">
      <sharedItems count="32">
        <s v="1-Jul"/>
        <s v="2-Jul"/>
        <s v="3-Jul"/>
        <s v="4-Jul"/>
        <s v="5-Jul"/>
        <s v="6-Jul"/>
        <s v="7-Jul"/>
        <s v="8-Jul"/>
        <s v="9-Jul"/>
        <s v="10-Jul"/>
        <s v="11-Jul"/>
        <s v="12-Jul"/>
        <s v="13-Jul"/>
        <s v="14-Jul"/>
        <s v="15-Jul"/>
        <s v="16-Jul"/>
        <s v="17-Jul"/>
        <s v="18-Jul"/>
        <s v="19-Jul"/>
        <s v="20-Jul"/>
        <s v="21-Jul"/>
        <s v="22-Jul"/>
        <s v="23-Jul"/>
        <s v="24-Jul"/>
        <s v="25-Jul"/>
        <s v="26-Jul"/>
        <s v="27-Jul"/>
        <s v="28-Jul"/>
        <s v="29-Jul"/>
        <s v="30-Jul"/>
        <s v="31-Jul"/>
        <s v="4-Jan" u="1"/>
      </sharedItems>
    </cacheField>
    <cacheField name="[Calender_table].[Date (Month)].[Date (Month)]" caption="Date (Month)" numFmtId="0" hierarchy="3" level="1">
      <sharedItems containsSemiMixedTypes="0" containsNonDate="0" containsString="0"/>
    </cacheField>
    <cacheField name="[Measures].[Average of Patient Waittime]" caption="Average of Patient Waittime" numFmtId="0" hierarchy="25"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608796" backgroundQuery="1" createdVersion="8" refreshedVersion="8" minRefreshableVersion="3" recordCount="0" supportSubquery="1" supportAdvancedDrill="1" xr:uid="{F3DD2ED9-3B13-4338-9116-CB699D04D696}">
  <cacheSource type="external" connectionId="3"/>
  <cacheFields count="4">
    <cacheField name="[Calender_table].[Date (Day)].[Date (Day)]" caption="Date (Day)" numFmtId="0" hierarchy="4" level="1">
      <sharedItems count="33">
        <s v="1-Jul"/>
        <s v="2-Jul"/>
        <s v="3-Jul"/>
        <s v="4-Jul"/>
        <s v="5-Jul"/>
        <s v="6-Jul"/>
        <s v="7-Jul"/>
        <s v="8-Jul"/>
        <s v="9-Jul"/>
        <s v="10-Jul"/>
        <s v="11-Jul"/>
        <s v="12-Jul"/>
        <s v="13-Jul"/>
        <s v="14-Jul"/>
        <s v="15-Jul"/>
        <s v="16-Jul"/>
        <s v="17-Jul"/>
        <s v="18-Jul"/>
        <s v="19-Jul"/>
        <s v="20-Jul"/>
        <s v="21-Jul"/>
        <s v="22-Jul"/>
        <s v="23-Jul"/>
        <s v="24-Jul"/>
        <s v="25-Jul"/>
        <s v="26-Jul"/>
        <s v="27-Jul"/>
        <s v="28-Jul"/>
        <s v="29-Jul"/>
        <s v="30-Jul"/>
        <s v="31-Jul"/>
        <s v="1-Jan" u="1"/>
        <s v="4-Jan" u="1"/>
      </sharedItems>
    </cacheField>
    <cacheField name="[Calender_table].[Date (Month)].[Date (Month)]" caption="Date (Month)" numFmtId="0" hierarchy="3" level="1">
      <sharedItems containsSemiMixedTypes="0" containsNonDate="0" containsString="0"/>
    </cacheField>
    <cacheField name="[Measures].[Average of Patient Satisfaction Score]" caption="Average of Patient Satisfaction Score" numFmtId="0" hierarchy="27" level="32767"/>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6435183" backgroundQuery="1" createdVersion="8" refreshedVersion="8" minRefreshableVersion="3" recordCount="0" supportSubquery="1" supportAdvancedDrill="1" xr:uid="{0306A7F8-9695-4558-9075-682A3DEDCE7E}">
  <cacheSource type="external" connectionId="3"/>
  <cacheFields count="3">
    <cacheField name="[Measures].[Count of Patient Id]" caption="Count of Patient Id" numFmtId="0" hierarchy="23" level="32767"/>
    <cacheField name="[Calender_table].[Date (Month)].[Date (Month)]" caption="Date (Month)" numFmtId="0" hierarchy="3" level="1">
      <sharedItems containsSemiMixedTypes="0" containsNonDate="0" containsString="0"/>
    </cacheField>
    <cacheField name="[Calender_table].[Date (Year)].[Date (Year)]" caption="Date (Year)" numFmtId="0" hierarchy="1" level="1">
      <sharedItems containsSemiMixedTypes="0" containsNonDate="0" containsString="0"/>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3.569767013891" backgroundQuery="1" createdVersion="8" refreshedVersion="8" minRefreshableVersion="3" recordCount="0" supportSubquery="1" supportAdvancedDrill="1" xr:uid="{6399BB7C-C19D-4ACF-881C-BB13D9975743}">
  <cacheSource type="external" connectionId="3"/>
  <cacheFields count="5">
    <cacheField name="[Calender_table].[Date (Month)].[Date (Month)]" caption="Date (Month)" numFmtId="0" hierarchy="3"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30" level="32767"/>
    <cacheField name="[Calender_table].[Date (Year)].[Date (Year)]" caption="Date (Year)" numFmtId="0" hierarchy="1" level="1">
      <sharedItems containsSemiMixedTypes="0" containsNonDate="0" containsString="0"/>
    </cacheField>
    <cacheField name="Unsupported0" numFmtId="0" hierarchy="36" level="32767">
      <extLst>
        <ext xmlns:x14="http://schemas.microsoft.com/office/spreadsheetml/2009/9/main" uri="{63CAB8AC-B538-458d-9737-405883B0398D}">
          <x14:cacheField ignore="1"/>
        </ext>
      </extLst>
    </cacheField>
  </cacheFields>
  <cacheHierarchies count="37">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hidden="1">
      <extLst>
        <ext xmlns:x15="http://schemas.microsoft.com/office/spreadsheetml/2010/11/main" uri="{B97F6D7D-B522-45F9-BDA1-12C45D357490}">
          <x15:cacheHierarchy aggregatedColumn="0"/>
        </ext>
      </extLst>
    </cacheHierarchy>
    <cacheHierarchy uniqueName="[Measures].[Count of Patient Admission Date]" caption="Count of Patient Admission Date" measure="1" displayFolder="" measureGroup="Hospital Emergency Room Data" count="0" hidden="1">
      <extLst>
        <ext xmlns:x15="http://schemas.microsoft.com/office/spreadsheetml/2010/11/main" uri="{B97F6D7D-B522-45F9-BDA1-12C45D357490}">
          <x15:cacheHierarchy aggregatedColumn="6"/>
        </ext>
      </extLst>
    </cacheHierarchy>
    <cacheHierarchy uniqueName="[Measures].[Count of Patient Admission Flag]" caption="Count of Patient Admission Flag"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Patient Age]" caption="Sum of Patient Age" measure="1" displayFolder="" measureGroup="Hospital Emergency Room Data" count="0" hidden="1">
      <extLst>
        <ext xmlns:x15="http://schemas.microsoft.com/office/spreadsheetml/2010/11/main" uri="{B97F6D7D-B522-45F9-BDA1-12C45D357490}">
          <x15:cacheHierarchy aggregatedColumn="10"/>
        </ext>
      </extLst>
    </cacheHierarchy>
    <cacheHierarchy uniqueName="[Measures].[Count of Age_group]" caption="Count of Age_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_attend_status]" caption="Count of Patient_attend_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er_table" uniqueName="[Calender_table]" caption="Calender_table"/>
    <dimension name="Hospital Emergency Room Data" uniqueName="[Hospital Emergency Room Data]" caption="Hospital Emergency Room Data"/>
    <dimension measure="1" name="Measures" uniqueName="[Measures]" caption="Measures"/>
  </dimensions>
  <measureGroups count="2">
    <measureGroup name="Calender_table" caption="Ca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hesh Mestry" refreshedDate="45930.687028703702" backgroundQuery="1" createdVersion="3" refreshedVersion="8" minRefreshableVersion="3" recordCount="0" supportSubquery="1" supportAdvancedDrill="1" xr:uid="{047020E9-F133-4315-89A3-21C23473F9CA}">
  <cacheSource type="external" connectionId="3">
    <extLst>
      <ext xmlns:x14="http://schemas.microsoft.com/office/spreadsheetml/2009/9/main" uri="{F057638F-6D5F-4e77-A914-E7F072B9BCA8}">
        <x14:sourceConnection name="ThisWorkbookDataModel"/>
      </ext>
    </extLst>
  </cacheSource>
  <cacheFields count="0"/>
  <cacheHierarchies count="29">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Year)]" caption="Date (Year)" attribute="1" defaultMemberUniqueName="[Calender_table].[Date (Year)].[All]" allUniqueName="[Calender_table].[Date (Year)].[All]" dimensionUniqueName="[Calender_table]" displayFolder="" count="2" memberValueDatatype="130" unbalanced="0"/>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Calender_table].[Date (Month)]" caption="Date (Month)" attribute="1" defaultMemberUniqueName="[Calender_table].[Date (Month)].[All]" allUniqueName="[Calender_table].[Date (Month)].[All]" dimensionUniqueName="[Calender_table]" displayFolder="" count="2" memberValueDatatype="130" unbalanced="0"/>
    <cacheHierarchy uniqueName="[Calender_table].[Date (Day)]" caption="Date (Day)" attribute="1" defaultMemberUniqueName="[Calender_table].[Date (Day)].[All]" allUniqueName="[Calender_table].[Date (Day)].[All]" dimensionUniqueName="[Ca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_group]" caption="Age_group" attribute="1" defaultMemberUniqueName="[Hospital Emergency Room Data].[Age_group].[All]" allUniqueName="[Hospital Emergency Room Data].[Age_group].[All]" dimensionUniqueName="[Hospital Emergency Room Data]" displayFolder="" count="0" memberValueDatatype="130" unbalanced="0"/>
    <cacheHierarchy uniqueName="[Hospital Emergency Room Data].[Patient_attend_status]" caption="Patient_attend_status" attribute="1" defaultMemberUniqueName="[Hospital Emergency Room Data].[Patient_attend_status].[All]" allUniqueName="[Hospital Emergency Room Data].[Patient_attend_status].[All]" dimensionUniqueName="[Hospital Emergency Room Data]"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Count of Patient Id]" caption="Count of Patient Id" measure="1" displayFolder="" measureGroup="Hospital Emergency Room Data" count="0">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extLst>
        <ext xmlns:x15="http://schemas.microsoft.com/office/spreadsheetml/2010/11/main" uri="{B97F6D7D-B522-45F9-BDA1-12C45D357490}">
          <x15:cacheHierarchy aggregatedColumn="14"/>
        </ext>
      </extLst>
    </cacheHierarchy>
    <cacheHierarchy uniqueName="[Measures].[Count of Date]" caption="Count of Date" measure="1" displayFolder="" measureGroup="Calender_table" count="0">
      <extLst>
        <ext xmlns:x15="http://schemas.microsoft.com/office/spreadsheetml/2010/11/main" uri="{B97F6D7D-B522-45F9-BDA1-12C45D357490}">
          <x15:cacheHierarchy aggregatedColumn="0"/>
        </ext>
      </extLst>
    </cacheHierarchy>
    <cacheHierarchy uniqueName="[Measures].[__XL_Count Hospital Emergency Room Data]" caption="__XL_Count Hospital Emergency Room Data" measure="1" displayFolder="" measureGroup="Hospital Emergency Room Data" count="0" hidden="1"/>
    <cacheHierarchy uniqueName="[Measures].[__XL_Count Calender_table]" caption="__XL_Count Calender_table" measure="1" displayFolder="" measureGroup="Calender_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1317629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25CAEB5-659A-4730-BA7A-000D619C4F71}" name="PivotTable14" cacheId="888"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57">
  <location ref="A124:A126" firstHeaderRow="1" firstDataRow="1" firstDataCol="1"/>
  <pivotFields count="2">
    <pivotField allDrilled="1" subtotalTop="0" showAll="0" dataSourceSort="1" defaultSubtotal="0" defaultAttributeDrillState="1"/>
    <pivotField axis="axisRow" allDrilled="1" subtotalTop="0" showAll="0" dataSourceSort="1" defaultSubtotal="0" defaultAttributeDrillState="1">
      <items count="1">
        <item s="1" x="0"/>
      </items>
    </pivotField>
  </pivotFields>
  <rowFields count="1">
    <field x="1"/>
  </rowFields>
  <rowItems count="2">
    <i>
      <x/>
    </i>
    <i t="grand">
      <x/>
    </i>
  </rowItems>
  <pivotHierarchies count="36">
    <pivotHierarchy dragToData="1"/>
    <pivotHierarchy multipleItemSelectionAllowed="1" dragToData="1"/>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96B8ED-E74D-494E-85AA-F6A6916FA22D}" name="PivotTable13" cacheId="903"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57">
  <location ref="D113:E116"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Gender" fld="2" subtotal="count" baseField="0" baseItem="0"/>
  </dataFields>
  <chartFormats count="3">
    <chartFormat chart="56" format="4" series="1">
      <pivotArea type="data" outline="0" fieldPosition="0">
        <references count="1">
          <reference field="4294967294" count="1" selected="0">
            <x v="0"/>
          </reference>
        </references>
      </pivotArea>
    </chartFormat>
    <chartFormat chart="56" format="5">
      <pivotArea type="data" outline="0" fieldPosition="0">
        <references count="2">
          <reference field="4294967294" count="1" selected="0">
            <x v="0"/>
          </reference>
          <reference field="1" count="1" selected="0">
            <x v="0"/>
          </reference>
        </references>
      </pivotArea>
    </chartFormat>
    <chartFormat chart="56" format="6">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0A4055-DCF4-4650-A3FE-08911899720D}" name="PivotTable12" cacheId="900"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56">
  <location ref="A111:B120" firstHeaderRow="1" firstDataRow="1" firstDataCol="1"/>
  <pivotFields count="4">
    <pivotField allDrilled="1" subtotalTop="0" showAll="0" dataSourceSort="1" defaultSubtotal="0" defaultAttributeDrillState="1"/>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9">
    <i>
      <x v="7"/>
    </i>
    <i>
      <x v="3"/>
    </i>
    <i>
      <x/>
    </i>
    <i>
      <x v="1"/>
    </i>
    <i>
      <x v="6"/>
    </i>
    <i>
      <x v="5"/>
    </i>
    <i>
      <x v="2"/>
    </i>
    <i>
      <x v="4"/>
    </i>
    <i t="grand">
      <x/>
    </i>
  </rowItems>
  <colItems count="1">
    <i/>
  </colItems>
  <dataFields count="1">
    <dataField name="Count of Department Referral" fld="2" subtotal="count" baseField="0" baseItem="0"/>
  </dataFields>
  <chartFormats count="1">
    <chartFormat chart="55"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6F6BFC-925F-410B-9939-93B9D8D8B339}" name="PivotTable11" cacheId="897"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51">
  <location ref="A104:B107"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_attend_status" fld="2" subtotal="count" baseField="0" baseItem="0"/>
  </dataFields>
  <chartFormats count="10">
    <chartFormat chart="44" format="0"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0"/>
          </reference>
        </references>
      </pivotArea>
    </chartFormat>
    <chartFormat chart="46" format="2">
      <pivotArea type="data" outline="0" fieldPosition="0">
        <references count="2">
          <reference field="4294967294" count="1" selected="0">
            <x v="0"/>
          </reference>
          <reference field="1" count="1" selected="0">
            <x v="0"/>
          </reference>
        </references>
      </pivotArea>
    </chartFormat>
    <chartFormat chart="46" format="3">
      <pivotArea type="data" outline="0" fieldPosition="0">
        <references count="2">
          <reference field="4294967294" count="1" selected="0">
            <x v="0"/>
          </reference>
          <reference field="1" count="1" selected="0">
            <x v="1"/>
          </reference>
        </references>
      </pivotArea>
    </chartFormat>
    <chartFormat chart="47" format="4" series="1">
      <pivotArea type="data" outline="0" fieldPosition="0">
        <references count="1">
          <reference field="4294967294" count="1" selected="0">
            <x v="0"/>
          </reference>
        </references>
      </pivotArea>
    </chartFormat>
    <chartFormat chart="47" format="5">
      <pivotArea type="data" outline="0" fieldPosition="0">
        <references count="2">
          <reference field="4294967294" count="1" selected="0">
            <x v="0"/>
          </reference>
          <reference field="1" count="1" selected="0">
            <x v="0"/>
          </reference>
        </references>
      </pivotArea>
    </chartFormat>
    <chartFormat chart="47" format="6">
      <pivotArea type="data" outline="0" fieldPosition="0">
        <references count="2">
          <reference field="4294967294" count="1" selected="0">
            <x v="0"/>
          </reference>
          <reference field="1"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pivotArea type="data" outline="0" fieldPosition="0">
        <references count="2">
          <reference field="4294967294" count="1" selected="0">
            <x v="0"/>
          </reference>
          <reference field="1" count="1" selected="0">
            <x v="0"/>
          </reference>
        </references>
      </pivotArea>
    </chartFormat>
    <chartFormat chart="49" format="6">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2A671C7-DE69-45B6-A328-3548EC71ED02}" name="PivotTable10" cacheId="894"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44">
  <location ref="A91:B100"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Age_group" fld="2" subtotal="count" baseField="0" baseItem="0"/>
  </dataFields>
  <chartFormats count="2">
    <chartFormat chart="32" format="0"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B7749BE-B7CD-4D79-82F2-FFD68F5480F2}" name="PivotTable1" cacheId="891" applyNumberFormats="0" applyBorderFormats="0" applyFontFormats="0" applyPatternFormats="0" applyAlignmentFormats="0" applyWidthHeightFormats="1" dataCaption="Values" tag="ee07fbb7-77b7-4c1c-be2f-548b803cb7b8" updatedVersion="8" minRefreshableVersion="3" useAutoFormatting="1" subtotalHiddenItems="1" itemPrintTitles="1" createdVersion="8" indent="0" outline="1" outlineData="1" multipleFieldFilters="0">
  <location ref="A1:B10" firstHeaderRow="1" firstDataRow="1" firstDataCol="1"/>
  <pivotFields count="4">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Patient Id" fld="0" subtotal="count" baseField="0" baseItem="0"/>
  </dataField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DEF995A-CBC1-4667-BE5B-4658B846B7EB}" name="PivotTable9" cacheId="927"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chartFormat="32">
  <location ref="A68:C71" firstHeaderRow="0" firstDataRow="1" firstDataCol="1"/>
  <pivotFields count="5">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name="Count of Patient Admission Flag" fld="2" subtotal="count" baseField="0" baseItem="0"/>
    <dataField name="Count of Patient Admission Flag2" fld="4" subtotal="count" showDataAs="percentOfTotal" baseField="0" baseItem="0" numFmtId="10">
      <extLst>
        <ext xmlns:x14="http://schemas.microsoft.com/office/spreadsheetml/2009/9/main" uri="{E15A36E0-9728-4e99-A89B-3F7291B0FE68}">
          <x14:dataField sourceField="2" uniqueName="[__Xl2].[Measures].[Count of Patient Admission Flag]"/>
        </ext>
      </extLst>
    </dataField>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s>
  <pivotHierarchies count="37">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D92A780-8046-4F08-AFF2-24B0FDA827B4}" name="PivotTable5" cacheId="915" applyNumberFormats="0" applyBorderFormats="0" applyFontFormats="0" applyPatternFormats="0" applyAlignmentFormats="0" applyWidthHeightFormats="1" dataCaption="Values" tag="e9f33ec0-1146-4421-94da-4f8c2643b57b" updatedVersion="8" minRefreshableVersion="3" subtotalHiddenItems="1" itemPrintTitles="1" createdVersion="8" indent="0" outline="1" outlineData="1" multipleFieldFilters="0" chartFormat="12">
  <location ref="A32:B64" firstHeaderRow="1" firstDataRow="1" firstDataCol="1"/>
  <pivotFields count="4">
    <pivotField dataField="1" subtotalTop="0" showAll="0" defaultSubtotal="0"/>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Count of Patient Id" fld="0" subtotal="count" baseField="0" baseItem="0"/>
  </dataFields>
  <chartFormats count="2">
    <chartFormat chart="5" format="2"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7D7F652-0CC6-48BA-8D53-16172B47CCB7}" name="PivotTable4" cacheId="912" applyNumberFormats="0" applyBorderFormats="0" applyFontFormats="0" applyPatternFormats="0" applyAlignmentFormats="0" applyWidthHeightFormats="1" dataCaption="Values" tag="43ba097f-d76f-4172-ab5a-af17e93b24eb" updatedVersion="8" minRefreshableVersion="3" subtotalHiddenItems="1" itemPrintTitles="1" createdVersion="8" indent="0" outline="1" outlineData="1" multipleFieldFilters="0">
  <location ref="A25:A2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127">
      <pivotArea outline="0" collapsedLevelsAreSubtotals="1" fieldPosition="0"/>
    </format>
  </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695EBC9-1C7F-4B0D-BA89-D934342C8871}" name="PivotTable8" cacheId="924"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location ref="A27:A28"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ount of Patient Id" fld="0" subtotal="count" baseField="0" baseItem="0"/>
  </dataField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F036619-B608-405A-8853-295DD0F109BD}" name="PivotTable3" cacheId="909" applyNumberFormats="0" applyBorderFormats="0" applyFontFormats="0" applyPatternFormats="0" applyAlignmentFormats="0" applyWidthHeightFormats="1" dataCaption="Values" tag="ed8f6458-4df8-4876-919b-fe827636196c" updatedVersion="8" minRefreshableVersion="3" subtotalHiddenItems="1" itemPrintTitles="1" createdVersion="8" indent="0" outline="1" outlineData="1" multipleFieldFilters="0">
  <location ref="A20:A21"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128">
      <pivotArea outline="0" collapsedLevelsAreSubtotals="1" fieldPosition="0"/>
    </format>
  </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593E80C-92E9-4268-8120-75904C2AF4FB}" name="PivotTable7" cacheId="921" applyNumberFormats="0" applyBorderFormats="0" applyFontFormats="0" applyPatternFormats="0" applyAlignmentFormats="0" applyWidthHeightFormats="1" dataCaption="Values" tag="e9a1df34-a5d6-4595-aab1-7bb40bca019d" updatedVersion="8" minRefreshableVersion="3" subtotalHiddenItems="1" itemPrintTitles="1" createdVersion="8" indent="0" outline="1" outlineData="1" multipleFieldFilters="0" chartFormat="39">
  <location ref="I32:J64" firstHeaderRow="1" firstDataRow="1" firstDataCol="1"/>
  <pivotFields count="4">
    <pivotField axis="axisRow" allDrilled="1" subtotalTop="0" showAll="0" dataSourceSort="1"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Satisfaction Score" fld="2" subtotal="average" baseField="0" baseItem="9" numFmtId="164"/>
  </dataFields>
  <formats count="3">
    <format dxfId="131">
      <pivotArea collapsedLevelsAreSubtotals="1" fieldPosition="0">
        <references count="1">
          <reference field="0" count="1">
            <x v="32"/>
          </reference>
        </references>
      </pivotArea>
    </format>
    <format dxfId="130">
      <pivotArea collapsedLevelsAreSubtotals="1" fieldPosition="0">
        <references count="1">
          <reference field="0" count="1">
            <x v="31"/>
          </reference>
        </references>
      </pivotArea>
    </format>
    <format dxfId="129">
      <pivotArea outline="0" collapsedLevelsAreSubtotals="1" fieldPosition="0"/>
    </format>
  </formats>
  <chartFormats count="5">
    <chartFormat chart="24"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34" format="3"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F6E6DC5-1B99-47EC-8290-83B40584BF5E}" name="PivotTable2" cacheId="906" applyNumberFormats="0" applyBorderFormats="0" applyFontFormats="0" applyPatternFormats="0" applyAlignmentFormats="0" applyWidthHeightFormats="1" dataCaption="Values" tag="c9f7ec35-762e-48d4-91bd-3ae1a3198dc6" updatedVersion="8" minRefreshableVersion="3" subtotalHiddenItems="1" itemPrintTitles="1" createdVersion="8" indent="0" outline="1" outlineData="1" multipleFieldFilters="0">
  <location ref="A15:A1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ount of Patient Id" fld="0" subtotal="count" baseField="0" baseItem="0"/>
  </dataField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AC415B8-5398-4FB1-91E3-0BB2BAB12922}" name="PivotTable6" cacheId="918" applyNumberFormats="0" applyBorderFormats="0" applyFontFormats="0" applyPatternFormats="0" applyAlignmentFormats="0" applyWidthHeightFormats="1" dataCaption="Values" tag="c914ba4a-d1d3-40d3-b537-39984dd204d0" updatedVersion="8" minRefreshableVersion="3" subtotalHiddenItems="1" itemPrintTitles="1" createdVersion="8" indent="0" outline="1" outlineData="1" multipleFieldFilters="0" chartFormat="24">
  <location ref="D32:E64" firstHeaderRow="1" firstDataRow="1" firstDataCol="1"/>
  <pivotFields count="4">
    <pivotField axis="axisRow" allDrilled="1" subtotalTop="0" showAll="0" dataSourceSort="1"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Waittime" fld="2" subtotal="average" baseField="0" baseItem="0" numFmtId="164"/>
  </dataFields>
  <formats count="2">
    <format dxfId="133">
      <pivotArea collapsedLevelsAreSubtotals="1" fieldPosition="0">
        <references count="1">
          <reference field="0" count="1">
            <x v="31"/>
          </reference>
        </references>
      </pivotArea>
    </format>
    <format dxfId="132">
      <pivotArea outline="0" collapsedLevelsAreSubtotals="1" fieldPosition="0"/>
    </format>
  </formats>
  <chartFormats count="2">
    <chartFormat chart="18" format="2"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ender_table].[Date (Year)].&amp;[2024]"/>
      </members>
    </pivotHierarchy>
    <pivotHierarchy dragToData="1"/>
    <pivotHierarchy multipleItemSelectionAllowed="1" dragToData="1">
      <members count="1" level="1">
        <member name="[Calender_table].[Date (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2C001E7E-393A-42C6-94C9-C411A128B0D7}" sourceName="[Calender_table].[Date (Month)]">
  <pivotTables>
    <pivotTable tabId="1" name="PivotTable5"/>
    <pivotTable tabId="1" name="PivotTable1"/>
    <pivotTable tabId="1" name="PivotTable2"/>
    <pivotTable tabId="1" name="PivotTable3"/>
    <pivotTable tabId="1" name="PivotTable4"/>
    <pivotTable tabId="1" name="PivotTable6"/>
    <pivotTable tabId="1" name="PivotTable7"/>
    <pivotTable tabId="1" name="PivotTable8"/>
    <pivotTable tabId="1" name="PivotTable9"/>
    <pivotTable tabId="1" name="PivotTable10"/>
    <pivotTable tabId="1" name="PivotTable11"/>
    <pivotTable tabId="1" name="PivotTable12"/>
    <pivotTable tabId="1" name="PivotTable13"/>
    <pivotTable tabId="1" name="PivotTable14"/>
  </pivotTables>
  <data>
    <olap pivotCacheId="713176292">
      <levels count="2">
        <level uniqueName="[Calender_table].[Date (Month)].[(All)]" sourceCaption="(All)" count="0"/>
        <level uniqueName="[Calender_table].[Date (Month)].[Date (Month)]" sourceCaption="Date (Month)" count="12">
          <ranges>
            <range startItem="0">
              <i n="[Calender_table].[Date (Month)].&amp;[Jan]" c="Jan"/>
              <i n="[Calender_table].[Date (Month)].&amp;[Feb]" c="Feb"/>
              <i n="[Calender_table].[Date (Month)].&amp;[Mar]" c="Mar"/>
              <i n="[Calender_table].[Date (Month)].&amp;[Apr]" c="Apr"/>
              <i n="[Calender_table].[Date (Month)].&amp;[May]" c="May"/>
              <i n="[Calender_table].[Date (Month)].&amp;[Jun]" c="Jun"/>
              <i n="[Calender_table].[Date (Month)].&amp;[Jul]" c="Jul"/>
              <i n="[Calender_table].[Date (Month)].&amp;[Aug]" c="Aug"/>
              <i n="[Calender_table].[Date (Month)].&amp;[Sep]" c="Sep"/>
              <i n="[Calender_table].[Date (Month)].&amp;[Oct]" c="Oct"/>
              <i n="[Calender_table].[Date (Month)].&amp;[Nov]" c="Nov" nd="1"/>
              <i n="[Calender_table].[Date (Month)].&amp;[Dec]" c="Dec" nd="1"/>
            </range>
          </ranges>
        </level>
      </levels>
      <selections count="1">
        <selection n="[Calender_table].[Date (Month)].&amp;[Ju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3CC7AD83-FCC3-4C88-950F-EF507C05CF32}" sourceName="[Calender_table].[Date (Year)]">
  <pivotTables>
    <pivotTable tabId="1" name="PivotTable14"/>
    <pivotTable tabId="1" name="PivotTable1"/>
    <pivotTable tabId="1" name="PivotTable10"/>
    <pivotTable tabId="1" name="PivotTable11"/>
    <pivotTable tabId="1" name="PivotTable12"/>
    <pivotTable tabId="1" name="PivotTable13"/>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713176292">
      <levels count="2">
        <level uniqueName="[Calender_table].[Date (Year)].[(All)]" sourceCaption="(All)" count="0"/>
        <level uniqueName="[Calender_table].[Date (Year)].[Date (Year)]" sourceCaption="Date (Year)" count="3">
          <ranges>
            <range startItem="0">
              <i n="[Calender_table].[Date (Year)].&amp;[2023]" c="2023"/>
              <i n="[Calender_table].[Date (Year)].&amp;[2024]" c="2024"/>
              <i n="[Calender_table].[Date (Year)].&amp;[2025]" c="2025" nd="1"/>
            </range>
          </ranges>
        </level>
      </levels>
      <selections count="1">
        <selection n="[Calender_table].[Date (Year)].&amp;[2024]"/>
      </selections>
    </olap>
  </data>
  <extLst>
    <x:ext xmlns:x15="http://schemas.microsoft.com/office/spreadsheetml/2010/11/main" uri="{470722E0-AACD-4C17-9CDC-17EF765DBC7E}">
      <x15:slicerCacheHideItemsWithNoData count="1">
        <x15:slicerCacheOlapLevelName uniqueName="[Calender_table].[Date (Year)].[Date (Year)]" count="1"/>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Year)" xr10:uid="{944E866C-5D19-4EFE-9D73-77A84C71027D}" cache="Slicer_Date__Year" caption="Date (Year)" showCaption="0" level="1" style="Slicer Style 1"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34B8826E-439E-43D5-8008-D509FF0A5942}" cache="Slicer_Date__Month" caption="Date (Month)" showCaption="0" level="1" style="my_own_style" rowHeight="273600"/>
  <slicer name="Date (Year) 1" xr10:uid="{3C40608E-48E3-4C39-BF4F-A0CAA0D476D9}" cache="Slicer_Date__Year" caption="Date (Year)" showCaption="0" level="1" style="my_own_style"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AF01D-3651-4FA7-9DDD-C0B7AB066680}">
  <dimension ref="A1:J126"/>
  <sheetViews>
    <sheetView topLeftCell="A101" workbookViewId="0">
      <selection activeCell="F125" sqref="F125"/>
    </sheetView>
  </sheetViews>
  <sheetFormatPr defaultRowHeight="14.4" x14ac:dyDescent="0.3"/>
  <cols>
    <col min="1" max="1" width="12.5546875" bestFit="1" customWidth="1"/>
    <col min="2" max="2" width="17" bestFit="1" customWidth="1"/>
    <col min="3" max="3" width="12.6640625" customWidth="1"/>
    <col min="4" max="4" width="17.21875" customWidth="1"/>
  </cols>
  <sheetData>
    <row r="1" spans="1:2" x14ac:dyDescent="0.3">
      <c r="A1" s="1" t="s">
        <v>1</v>
      </c>
      <c r="B1" t="s">
        <v>0</v>
      </c>
    </row>
    <row r="2" spans="1:2" x14ac:dyDescent="0.3">
      <c r="A2" s="2" t="s">
        <v>3</v>
      </c>
      <c r="B2" s="11">
        <v>62</v>
      </c>
    </row>
    <row r="3" spans="1:2" x14ac:dyDescent="0.3">
      <c r="A3" s="2" t="s">
        <v>4</v>
      </c>
      <c r="B3" s="11">
        <v>73</v>
      </c>
    </row>
    <row r="4" spans="1:2" x14ac:dyDescent="0.3">
      <c r="A4" s="2" t="s">
        <v>5</v>
      </c>
      <c r="B4" s="11">
        <v>49</v>
      </c>
    </row>
    <row r="5" spans="1:2" x14ac:dyDescent="0.3">
      <c r="A5" s="2" t="s">
        <v>6</v>
      </c>
      <c r="B5" s="11">
        <v>44</v>
      </c>
    </row>
    <row r="6" spans="1:2" x14ac:dyDescent="0.3">
      <c r="A6" s="2" t="s">
        <v>7</v>
      </c>
      <c r="B6" s="11">
        <v>72</v>
      </c>
    </row>
    <row r="7" spans="1:2" x14ac:dyDescent="0.3">
      <c r="A7" s="2" t="s">
        <v>8</v>
      </c>
      <c r="B7" s="11">
        <v>71</v>
      </c>
    </row>
    <row r="8" spans="1:2" x14ac:dyDescent="0.3">
      <c r="A8" s="2" t="s">
        <v>9</v>
      </c>
      <c r="B8" s="11">
        <v>59</v>
      </c>
    </row>
    <row r="9" spans="1:2" x14ac:dyDescent="0.3">
      <c r="A9" s="2" t="s">
        <v>10</v>
      </c>
      <c r="B9" s="11">
        <v>58</v>
      </c>
    </row>
    <row r="10" spans="1:2" x14ac:dyDescent="0.3">
      <c r="A10" s="2" t="s">
        <v>2</v>
      </c>
      <c r="B10" s="11">
        <v>488</v>
      </c>
    </row>
    <row r="14" spans="1:2" x14ac:dyDescent="0.3">
      <c r="A14" t="s">
        <v>11</v>
      </c>
    </row>
    <row r="15" spans="1:2" x14ac:dyDescent="0.3">
      <c r="A15" t="s">
        <v>0</v>
      </c>
    </row>
    <row r="16" spans="1:2" x14ac:dyDescent="0.3">
      <c r="A16" s="11">
        <v>488</v>
      </c>
    </row>
    <row r="19" spans="1:10" x14ac:dyDescent="0.3">
      <c r="A19" t="s">
        <v>13</v>
      </c>
    </row>
    <row r="20" spans="1:10" x14ac:dyDescent="0.3">
      <c r="A20" t="s">
        <v>12</v>
      </c>
    </row>
    <row r="21" spans="1:10" x14ac:dyDescent="0.3">
      <c r="A21" s="3">
        <v>35.19877049180328</v>
      </c>
    </row>
    <row r="24" spans="1:10" x14ac:dyDescent="0.3">
      <c r="A24" t="s">
        <v>15</v>
      </c>
    </row>
    <row r="25" spans="1:10" x14ac:dyDescent="0.3">
      <c r="A25" t="s">
        <v>14</v>
      </c>
    </row>
    <row r="26" spans="1:10" x14ac:dyDescent="0.3">
      <c r="A26" s="3">
        <v>4.7876712328767121</v>
      </c>
    </row>
    <row r="27" spans="1:10" x14ac:dyDescent="0.3">
      <c r="A27" t="s">
        <v>0</v>
      </c>
    </row>
    <row r="28" spans="1:10" x14ac:dyDescent="0.3">
      <c r="A28" s="11">
        <v>488</v>
      </c>
    </row>
    <row r="31" spans="1:10" x14ac:dyDescent="0.3">
      <c r="A31" t="s">
        <v>16</v>
      </c>
      <c r="D31" t="s">
        <v>17</v>
      </c>
    </row>
    <row r="32" spans="1:10" x14ac:dyDescent="0.3">
      <c r="A32" s="1" t="s">
        <v>1</v>
      </c>
      <c r="B32" t="s">
        <v>0</v>
      </c>
      <c r="D32" s="1" t="s">
        <v>1</v>
      </c>
      <c r="E32" t="s">
        <v>12</v>
      </c>
      <c r="I32" s="1" t="s">
        <v>1</v>
      </c>
      <c r="J32" t="s">
        <v>14</v>
      </c>
    </row>
    <row r="33" spans="1:10" x14ac:dyDescent="0.3">
      <c r="A33" s="2" t="s">
        <v>27</v>
      </c>
      <c r="B33" s="11">
        <v>17</v>
      </c>
      <c r="D33" s="2" t="s">
        <v>27</v>
      </c>
      <c r="E33" s="6">
        <v>36.941176470588232</v>
      </c>
      <c r="I33" s="2" t="s">
        <v>27</v>
      </c>
      <c r="J33" s="6">
        <v>4.125</v>
      </c>
    </row>
    <row r="34" spans="1:10" x14ac:dyDescent="0.3">
      <c r="A34" s="2" t="s">
        <v>28</v>
      </c>
      <c r="B34" s="11">
        <v>19</v>
      </c>
      <c r="D34" s="2" t="s">
        <v>28</v>
      </c>
      <c r="E34" s="6">
        <v>30.842105263157894</v>
      </c>
      <c r="I34" s="2" t="s">
        <v>28</v>
      </c>
      <c r="J34" s="6">
        <v>5.333333333333333</v>
      </c>
    </row>
    <row r="35" spans="1:10" x14ac:dyDescent="0.3">
      <c r="A35" s="2" t="s">
        <v>29</v>
      </c>
      <c r="B35" s="11">
        <v>12</v>
      </c>
      <c r="D35" s="2" t="s">
        <v>29</v>
      </c>
      <c r="E35" s="6">
        <v>31.833333333333332</v>
      </c>
      <c r="I35" s="2" t="s">
        <v>29</v>
      </c>
      <c r="J35" s="6">
        <v>4.75</v>
      </c>
    </row>
    <row r="36" spans="1:10" x14ac:dyDescent="0.3">
      <c r="A36" s="2" t="s">
        <v>30</v>
      </c>
      <c r="B36" s="11">
        <v>9</v>
      </c>
      <c r="D36" s="2" t="s">
        <v>30</v>
      </c>
      <c r="E36" s="6">
        <v>33.777777777777779</v>
      </c>
      <c r="I36" s="2" t="s">
        <v>30</v>
      </c>
      <c r="J36" s="6">
        <v>2</v>
      </c>
    </row>
    <row r="37" spans="1:10" x14ac:dyDescent="0.3">
      <c r="A37" s="2" t="s">
        <v>31</v>
      </c>
      <c r="B37" s="11">
        <v>15</v>
      </c>
      <c r="D37" s="2" t="s">
        <v>31</v>
      </c>
      <c r="E37" s="6">
        <v>30.466666666666665</v>
      </c>
      <c r="I37" s="2" t="s">
        <v>31</v>
      </c>
      <c r="J37" s="6">
        <v>8</v>
      </c>
    </row>
    <row r="38" spans="1:10" x14ac:dyDescent="0.3">
      <c r="A38" s="2" t="s">
        <v>32</v>
      </c>
      <c r="B38" s="11">
        <v>10</v>
      </c>
      <c r="D38" s="2" t="s">
        <v>32</v>
      </c>
      <c r="E38" s="6">
        <v>38.799999999999997</v>
      </c>
      <c r="I38" s="2" t="s">
        <v>32</v>
      </c>
      <c r="J38" s="6">
        <v>3.5</v>
      </c>
    </row>
    <row r="39" spans="1:10" x14ac:dyDescent="0.3">
      <c r="A39" s="2" t="s">
        <v>33</v>
      </c>
      <c r="B39" s="11">
        <v>18</v>
      </c>
      <c r="D39" s="2" t="s">
        <v>33</v>
      </c>
      <c r="E39" s="6">
        <v>30.277777777777779</v>
      </c>
      <c r="I39" s="2" t="s">
        <v>33</v>
      </c>
      <c r="J39" s="6">
        <v>7</v>
      </c>
    </row>
    <row r="40" spans="1:10" x14ac:dyDescent="0.3">
      <c r="A40" s="2" t="s">
        <v>34</v>
      </c>
      <c r="B40" s="11">
        <v>19</v>
      </c>
      <c r="D40" s="2" t="s">
        <v>34</v>
      </c>
      <c r="E40" s="6">
        <v>35.157894736842103</v>
      </c>
      <c r="I40" s="2" t="s">
        <v>34</v>
      </c>
      <c r="J40" s="6">
        <v>3.5</v>
      </c>
    </row>
    <row r="41" spans="1:10" x14ac:dyDescent="0.3">
      <c r="A41" s="2" t="s">
        <v>35</v>
      </c>
      <c r="B41" s="11">
        <v>19</v>
      </c>
      <c r="D41" s="2" t="s">
        <v>35</v>
      </c>
      <c r="E41" s="6">
        <v>37.94736842105263</v>
      </c>
      <c r="I41" s="2" t="s">
        <v>35</v>
      </c>
      <c r="J41" s="6">
        <v>6.4</v>
      </c>
    </row>
    <row r="42" spans="1:10" x14ac:dyDescent="0.3">
      <c r="A42" s="2" t="s">
        <v>36</v>
      </c>
      <c r="B42" s="11">
        <v>13</v>
      </c>
      <c r="D42" s="2" t="s">
        <v>36</v>
      </c>
      <c r="E42" s="6">
        <v>33.92307692307692</v>
      </c>
      <c r="I42" s="2" t="s">
        <v>36</v>
      </c>
      <c r="J42" s="6">
        <v>3.5</v>
      </c>
    </row>
    <row r="43" spans="1:10" x14ac:dyDescent="0.3">
      <c r="A43" s="2" t="s">
        <v>37</v>
      </c>
      <c r="B43" s="11">
        <v>15</v>
      </c>
      <c r="D43" s="2" t="s">
        <v>37</v>
      </c>
      <c r="E43" s="6">
        <v>33.200000000000003</v>
      </c>
      <c r="I43" s="2" t="s">
        <v>37</v>
      </c>
      <c r="J43" s="6">
        <v>6.5</v>
      </c>
    </row>
    <row r="44" spans="1:10" x14ac:dyDescent="0.3">
      <c r="A44" s="2" t="s">
        <v>38</v>
      </c>
      <c r="B44" s="11">
        <v>25</v>
      </c>
      <c r="D44" s="2" t="s">
        <v>38</v>
      </c>
      <c r="E44" s="6">
        <v>40.159999999999997</v>
      </c>
      <c r="I44" s="2" t="s">
        <v>38</v>
      </c>
      <c r="J44" s="6">
        <v>5.2857142857142856</v>
      </c>
    </row>
    <row r="45" spans="1:10" x14ac:dyDescent="0.3">
      <c r="A45" s="2" t="s">
        <v>39</v>
      </c>
      <c r="B45" s="11">
        <v>19</v>
      </c>
      <c r="D45" s="2" t="s">
        <v>39</v>
      </c>
      <c r="E45" s="6">
        <v>41.578947368421055</v>
      </c>
      <c r="I45" s="2" t="s">
        <v>39</v>
      </c>
      <c r="J45" s="6">
        <v>4.333333333333333</v>
      </c>
    </row>
    <row r="46" spans="1:10" x14ac:dyDescent="0.3">
      <c r="A46" s="2" t="s">
        <v>40</v>
      </c>
      <c r="B46" s="11">
        <v>15</v>
      </c>
      <c r="D46" s="2" t="s">
        <v>40</v>
      </c>
      <c r="E46" s="6">
        <v>36.866666666666667</v>
      </c>
      <c r="I46" s="2" t="s">
        <v>40</v>
      </c>
      <c r="J46" s="6">
        <v>3</v>
      </c>
    </row>
    <row r="47" spans="1:10" x14ac:dyDescent="0.3">
      <c r="A47" s="2" t="s">
        <v>41</v>
      </c>
      <c r="B47" s="11">
        <v>14</v>
      </c>
      <c r="D47" s="2" t="s">
        <v>41</v>
      </c>
      <c r="E47" s="6">
        <v>33.714285714285715</v>
      </c>
      <c r="I47" s="2" t="s">
        <v>41</v>
      </c>
      <c r="J47" s="6">
        <v>4.333333333333333</v>
      </c>
    </row>
    <row r="48" spans="1:10" x14ac:dyDescent="0.3">
      <c r="A48" s="2" t="s">
        <v>42</v>
      </c>
      <c r="B48" s="11">
        <v>20</v>
      </c>
      <c r="D48" s="2" t="s">
        <v>42</v>
      </c>
      <c r="E48" s="6">
        <v>33.700000000000003</v>
      </c>
      <c r="I48" s="2" t="s">
        <v>42</v>
      </c>
      <c r="J48" s="6">
        <v>3.3333333333333335</v>
      </c>
    </row>
    <row r="49" spans="1:10" x14ac:dyDescent="0.3">
      <c r="A49" s="2" t="s">
        <v>43</v>
      </c>
      <c r="B49" s="11">
        <v>14</v>
      </c>
      <c r="D49" s="2" t="s">
        <v>43</v>
      </c>
      <c r="E49" s="6">
        <v>34.642857142857146</v>
      </c>
      <c r="I49" s="2" t="s">
        <v>43</v>
      </c>
      <c r="J49" s="6">
        <v>2.5714285714285716</v>
      </c>
    </row>
    <row r="50" spans="1:10" x14ac:dyDescent="0.3">
      <c r="A50" s="2" t="s">
        <v>44</v>
      </c>
      <c r="B50" s="11">
        <v>14</v>
      </c>
      <c r="D50" s="2" t="s">
        <v>44</v>
      </c>
      <c r="E50" s="6">
        <v>36.5</v>
      </c>
      <c r="I50" s="2" t="s">
        <v>44</v>
      </c>
      <c r="J50" s="6">
        <v>3.75</v>
      </c>
    </row>
    <row r="51" spans="1:10" x14ac:dyDescent="0.3">
      <c r="A51" s="2" t="s">
        <v>45</v>
      </c>
      <c r="B51" s="11">
        <v>17</v>
      </c>
      <c r="D51" s="2" t="s">
        <v>45</v>
      </c>
      <c r="E51" s="6">
        <v>33.058823529411768</v>
      </c>
      <c r="I51" s="2" t="s">
        <v>45</v>
      </c>
      <c r="J51" s="6">
        <v>8.3333333333333339</v>
      </c>
    </row>
    <row r="52" spans="1:10" x14ac:dyDescent="0.3">
      <c r="A52" s="2" t="s">
        <v>46</v>
      </c>
      <c r="B52" s="11">
        <v>16</v>
      </c>
      <c r="D52" s="2" t="s">
        <v>46</v>
      </c>
      <c r="E52" s="6">
        <v>33.5625</v>
      </c>
      <c r="I52" s="2" t="s">
        <v>46</v>
      </c>
      <c r="J52" s="6">
        <v>3.75</v>
      </c>
    </row>
    <row r="53" spans="1:10" x14ac:dyDescent="0.3">
      <c r="A53" s="2" t="s">
        <v>47</v>
      </c>
      <c r="B53" s="11">
        <v>18</v>
      </c>
      <c r="D53" s="2" t="s">
        <v>47</v>
      </c>
      <c r="E53" s="6">
        <v>31.555555555555557</v>
      </c>
      <c r="I53" s="2" t="s">
        <v>47</v>
      </c>
      <c r="J53" s="6">
        <v>4.666666666666667</v>
      </c>
    </row>
    <row r="54" spans="1:10" x14ac:dyDescent="0.3">
      <c r="A54" s="2" t="s">
        <v>48</v>
      </c>
      <c r="B54" s="11">
        <v>8</v>
      </c>
      <c r="D54" s="2" t="s">
        <v>48</v>
      </c>
      <c r="E54" s="6">
        <v>38.375</v>
      </c>
      <c r="I54" s="2" t="s">
        <v>48</v>
      </c>
      <c r="J54" s="6">
        <v>5</v>
      </c>
    </row>
    <row r="55" spans="1:10" x14ac:dyDescent="0.3">
      <c r="A55" s="2" t="s">
        <v>49</v>
      </c>
      <c r="B55" s="11">
        <v>17</v>
      </c>
      <c r="D55" s="2" t="s">
        <v>49</v>
      </c>
      <c r="E55" s="6">
        <v>35.411764705882355</v>
      </c>
      <c r="I55" s="2" t="s">
        <v>49</v>
      </c>
      <c r="J55" s="6">
        <v>4.333333333333333</v>
      </c>
    </row>
    <row r="56" spans="1:10" x14ac:dyDescent="0.3">
      <c r="A56" s="2" t="s">
        <v>50</v>
      </c>
      <c r="B56" s="11">
        <v>11</v>
      </c>
      <c r="D56" s="2" t="s">
        <v>50</v>
      </c>
      <c r="E56" s="6">
        <v>34.909090909090907</v>
      </c>
      <c r="I56" s="2" t="s">
        <v>50</v>
      </c>
      <c r="J56" s="6">
        <v>4.666666666666667</v>
      </c>
    </row>
    <row r="57" spans="1:10" x14ac:dyDescent="0.3">
      <c r="A57" s="2" t="s">
        <v>51</v>
      </c>
      <c r="B57" s="11">
        <v>15</v>
      </c>
      <c r="D57" s="2" t="s">
        <v>51</v>
      </c>
      <c r="E57" s="6">
        <v>35.133333333333333</v>
      </c>
      <c r="I57" s="2" t="s">
        <v>51</v>
      </c>
      <c r="J57" s="6">
        <v>4.5</v>
      </c>
    </row>
    <row r="58" spans="1:10" x14ac:dyDescent="0.3">
      <c r="A58" s="2" t="s">
        <v>52</v>
      </c>
      <c r="B58" s="11">
        <v>13</v>
      </c>
      <c r="D58" s="2" t="s">
        <v>52</v>
      </c>
      <c r="E58" s="6">
        <v>35.07692307692308</v>
      </c>
      <c r="I58" s="2" t="s">
        <v>52</v>
      </c>
      <c r="J58" s="6">
        <v>6</v>
      </c>
    </row>
    <row r="59" spans="1:10" x14ac:dyDescent="0.3">
      <c r="A59" s="2" t="s">
        <v>53</v>
      </c>
      <c r="B59" s="11">
        <v>17</v>
      </c>
      <c r="D59" s="2" t="s">
        <v>53</v>
      </c>
      <c r="E59" s="6">
        <v>35.352941176470587</v>
      </c>
      <c r="I59" s="2" t="s">
        <v>53</v>
      </c>
      <c r="J59" s="6">
        <v>6.8888888888888893</v>
      </c>
    </row>
    <row r="60" spans="1:10" x14ac:dyDescent="0.3">
      <c r="A60" s="2" t="s">
        <v>54</v>
      </c>
      <c r="B60" s="11">
        <v>20</v>
      </c>
      <c r="D60" s="2" t="s">
        <v>54</v>
      </c>
      <c r="E60" s="6">
        <v>36.6</v>
      </c>
      <c r="I60" s="2" t="s">
        <v>54</v>
      </c>
      <c r="J60" s="6">
        <v>6.5714285714285712</v>
      </c>
    </row>
    <row r="61" spans="1:10" x14ac:dyDescent="0.3">
      <c r="A61" s="2" t="s">
        <v>55</v>
      </c>
      <c r="B61" s="11">
        <v>20</v>
      </c>
      <c r="D61" s="2" t="s">
        <v>55</v>
      </c>
      <c r="E61" s="6">
        <v>35.799999999999997</v>
      </c>
      <c r="I61" s="2" t="s">
        <v>55</v>
      </c>
      <c r="J61" s="6">
        <v>4.0999999999999996</v>
      </c>
    </row>
    <row r="62" spans="1:10" x14ac:dyDescent="0.3">
      <c r="A62" s="2" t="s">
        <v>56</v>
      </c>
      <c r="B62" s="11">
        <v>13</v>
      </c>
      <c r="D62" s="2" t="s">
        <v>56</v>
      </c>
      <c r="E62" s="6">
        <v>30.307692307692307</v>
      </c>
      <c r="I62" s="2" t="s">
        <v>56</v>
      </c>
      <c r="J62" s="6">
        <v>5</v>
      </c>
    </row>
    <row r="63" spans="1:10" x14ac:dyDescent="0.3">
      <c r="A63" s="2" t="s">
        <v>57</v>
      </c>
      <c r="B63" s="11">
        <v>16</v>
      </c>
      <c r="D63" s="2" t="s">
        <v>57</v>
      </c>
      <c r="E63" s="6">
        <v>42.75</v>
      </c>
      <c r="I63" s="2" t="s">
        <v>57</v>
      </c>
      <c r="J63" s="6">
        <v>5.4</v>
      </c>
    </row>
    <row r="64" spans="1:10" x14ac:dyDescent="0.3">
      <c r="A64" s="2" t="s">
        <v>2</v>
      </c>
      <c r="B64" s="11">
        <v>488</v>
      </c>
      <c r="D64" s="2" t="s">
        <v>2</v>
      </c>
      <c r="E64" s="6">
        <v>35.19877049180328</v>
      </c>
      <c r="I64" s="2" t="s">
        <v>2</v>
      </c>
      <c r="J64" s="6">
        <v>4.7876712328767121</v>
      </c>
    </row>
    <row r="68" spans="1:3" x14ac:dyDescent="0.3">
      <c r="A68" s="1" t="s">
        <v>1</v>
      </c>
      <c r="B68" t="s">
        <v>20</v>
      </c>
      <c r="C68" t="s">
        <v>21</v>
      </c>
    </row>
    <row r="69" spans="1:3" x14ac:dyDescent="0.3">
      <c r="A69" s="2" t="s">
        <v>18</v>
      </c>
      <c r="B69" s="11">
        <v>266</v>
      </c>
      <c r="C69" s="7">
        <v>0.54508196721311475</v>
      </c>
    </row>
    <row r="70" spans="1:3" x14ac:dyDescent="0.3">
      <c r="A70" s="2" t="s">
        <v>19</v>
      </c>
      <c r="B70" s="11">
        <v>222</v>
      </c>
      <c r="C70" s="7">
        <v>0.45491803278688525</v>
      </c>
    </row>
    <row r="71" spans="1:3" x14ac:dyDescent="0.3">
      <c r="A71" s="2" t="s">
        <v>2</v>
      </c>
      <c r="B71" s="11">
        <v>488</v>
      </c>
      <c r="C71" s="7">
        <v>1</v>
      </c>
    </row>
    <row r="84" spans="1:4" x14ac:dyDescent="0.3">
      <c r="A84" s="8" t="s">
        <v>22</v>
      </c>
      <c r="B84" s="8" t="s">
        <v>24</v>
      </c>
      <c r="C84" s="8" t="s">
        <v>25</v>
      </c>
      <c r="D84" s="8" t="s">
        <v>23</v>
      </c>
    </row>
    <row r="85" spans="1:4" x14ac:dyDescent="0.3">
      <c r="A85" s="9" t="str">
        <f>A70</f>
        <v>Not Admitted</v>
      </c>
      <c r="B85" s="9">
        <f>B70</f>
        <v>222</v>
      </c>
      <c r="C85" s="10">
        <f>C70</f>
        <v>0.45491803278688525</v>
      </c>
      <c r="D85" s="9"/>
    </row>
    <row r="86" spans="1:4" x14ac:dyDescent="0.3">
      <c r="A86" s="9" t="str">
        <f>A69</f>
        <v>Admitted</v>
      </c>
      <c r="B86" s="9">
        <f t="shared" ref="B86:C86" si="0">B69</f>
        <v>266</v>
      </c>
      <c r="C86" s="10">
        <f t="shared" si="0"/>
        <v>0.54508196721311475</v>
      </c>
      <c r="D86" s="9"/>
    </row>
    <row r="91" spans="1:4" x14ac:dyDescent="0.3">
      <c r="A91" s="1" t="s">
        <v>1</v>
      </c>
      <c r="B91" t="s">
        <v>26</v>
      </c>
    </row>
    <row r="92" spans="1:4" x14ac:dyDescent="0.3">
      <c r="A92" s="2" t="s">
        <v>3</v>
      </c>
      <c r="B92" s="11">
        <v>62</v>
      </c>
    </row>
    <row r="93" spans="1:4" x14ac:dyDescent="0.3">
      <c r="A93" s="2" t="s">
        <v>4</v>
      </c>
      <c r="B93" s="11">
        <v>73</v>
      </c>
    </row>
    <row r="94" spans="1:4" x14ac:dyDescent="0.3">
      <c r="A94" s="2" t="s">
        <v>5</v>
      </c>
      <c r="B94" s="11">
        <v>49</v>
      </c>
    </row>
    <row r="95" spans="1:4" x14ac:dyDescent="0.3">
      <c r="A95" s="2" t="s">
        <v>6</v>
      </c>
      <c r="B95" s="11">
        <v>44</v>
      </c>
    </row>
    <row r="96" spans="1:4" x14ac:dyDescent="0.3">
      <c r="A96" s="2" t="s">
        <v>7</v>
      </c>
      <c r="B96" s="11">
        <v>72</v>
      </c>
    </row>
    <row r="97" spans="1:2" x14ac:dyDescent="0.3">
      <c r="A97" s="2" t="s">
        <v>8</v>
      </c>
      <c r="B97" s="11">
        <v>71</v>
      </c>
    </row>
    <row r="98" spans="1:2" x14ac:dyDescent="0.3">
      <c r="A98" s="2" t="s">
        <v>9</v>
      </c>
      <c r="B98" s="11">
        <v>59</v>
      </c>
    </row>
    <row r="99" spans="1:2" x14ac:dyDescent="0.3">
      <c r="A99" s="2" t="s">
        <v>10</v>
      </c>
      <c r="B99" s="11">
        <v>58</v>
      </c>
    </row>
    <row r="100" spans="1:2" x14ac:dyDescent="0.3">
      <c r="A100" s="2" t="s">
        <v>2</v>
      </c>
      <c r="B100" s="11">
        <v>488</v>
      </c>
    </row>
    <row r="104" spans="1:2" x14ac:dyDescent="0.3">
      <c r="A104" s="1" t="s">
        <v>1</v>
      </c>
      <c r="B104" t="s">
        <v>60</v>
      </c>
    </row>
    <row r="105" spans="1:2" x14ac:dyDescent="0.3">
      <c r="A105" s="2" t="s">
        <v>59</v>
      </c>
      <c r="B105" s="11">
        <v>288</v>
      </c>
    </row>
    <row r="106" spans="1:2" x14ac:dyDescent="0.3">
      <c r="A106" s="2" t="s">
        <v>58</v>
      </c>
      <c r="B106" s="11">
        <v>200</v>
      </c>
    </row>
    <row r="107" spans="1:2" x14ac:dyDescent="0.3">
      <c r="A107" s="2" t="s">
        <v>2</v>
      </c>
      <c r="B107" s="11">
        <v>488</v>
      </c>
    </row>
    <row r="111" spans="1:2" x14ac:dyDescent="0.3">
      <c r="A111" s="1" t="s">
        <v>1</v>
      </c>
      <c r="B111" t="s">
        <v>69</v>
      </c>
    </row>
    <row r="112" spans="1:2" x14ac:dyDescent="0.3">
      <c r="A112" s="2" t="s">
        <v>68</v>
      </c>
      <c r="B112" s="11">
        <v>4</v>
      </c>
    </row>
    <row r="113" spans="1:5" x14ac:dyDescent="0.3">
      <c r="A113" s="2" t="s">
        <v>64</v>
      </c>
      <c r="B113" s="11">
        <v>7</v>
      </c>
      <c r="D113" s="1" t="s">
        <v>1</v>
      </c>
      <c r="E113" t="s">
        <v>72</v>
      </c>
    </row>
    <row r="114" spans="1:5" x14ac:dyDescent="0.3">
      <c r="A114" s="2" t="s">
        <v>61</v>
      </c>
      <c r="B114" s="11">
        <v>11</v>
      </c>
      <c r="D114" s="2" t="s">
        <v>70</v>
      </c>
      <c r="E114" s="11">
        <v>232</v>
      </c>
    </row>
    <row r="115" spans="1:5" x14ac:dyDescent="0.3">
      <c r="A115" s="2" t="s">
        <v>62</v>
      </c>
      <c r="B115" s="11">
        <v>11</v>
      </c>
      <c r="D115" s="2" t="s">
        <v>71</v>
      </c>
      <c r="E115" s="11">
        <v>256</v>
      </c>
    </row>
    <row r="116" spans="1:5" x14ac:dyDescent="0.3">
      <c r="A116" s="2" t="s">
        <v>67</v>
      </c>
      <c r="B116" s="11">
        <v>12</v>
      </c>
      <c r="D116" s="2" t="s">
        <v>2</v>
      </c>
      <c r="E116" s="11">
        <v>488</v>
      </c>
    </row>
    <row r="117" spans="1:5" x14ac:dyDescent="0.3">
      <c r="A117" s="2" t="s">
        <v>66</v>
      </c>
      <c r="B117" s="11">
        <v>60</v>
      </c>
    </row>
    <row r="118" spans="1:5" x14ac:dyDescent="0.3">
      <c r="A118" s="2" t="s">
        <v>63</v>
      </c>
      <c r="B118" s="11">
        <v>93</v>
      </c>
    </row>
    <row r="119" spans="1:5" x14ac:dyDescent="0.3">
      <c r="A119" s="2" t="s">
        <v>65</v>
      </c>
      <c r="B119" s="11">
        <v>290</v>
      </c>
    </row>
    <row r="120" spans="1:5" x14ac:dyDescent="0.3">
      <c r="A120" s="2" t="s">
        <v>2</v>
      </c>
      <c r="B120" s="11">
        <v>488</v>
      </c>
    </row>
    <row r="124" spans="1:5" x14ac:dyDescent="0.3">
      <c r="A124" s="1" t="s">
        <v>1</v>
      </c>
    </row>
    <row r="125" spans="1:5" x14ac:dyDescent="0.3">
      <c r="A125" s="2" t="s">
        <v>73</v>
      </c>
    </row>
    <row r="126" spans="1:5" x14ac:dyDescent="0.3">
      <c r="A126" s="2" t="s">
        <v>2</v>
      </c>
    </row>
  </sheetData>
  <pageMargins left="0.7" right="0.7" top="0.75" bottom="0.75" header="0.3" footer="0.3"/>
  <drawing r:id="rId15"/>
  <extLst>
    <ext xmlns:x14="http://schemas.microsoft.com/office/spreadsheetml/2009/9/main" uri="{A8765BA9-456A-4dab-B4F3-ACF838C121DE}">
      <x14:slicerList>
        <x14:slicer r:id="rId1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F8D3A-4D50-47F5-A048-D45EBC2A6483}">
  <dimension ref="A1"/>
  <sheetViews>
    <sheetView tabSelected="1" workbookViewId="0">
      <selection activeCell="P34" sqref="P34"/>
    </sheetView>
  </sheetViews>
  <sheetFormatPr defaultRowHeight="14.4" x14ac:dyDescent="0.3"/>
  <cols>
    <col min="1" max="14" width="8.88671875" style="4"/>
    <col min="15" max="15" width="4.88671875" style="4" customWidth="1"/>
    <col min="16" max="16384" width="8.8867187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E5CE4-25DA-428E-95A8-B2223F1C9A0B}">
  <dimension ref="A1"/>
  <sheetViews>
    <sheetView workbookViewId="0"/>
  </sheetViews>
  <sheetFormatPr defaultRowHeight="14.4" x14ac:dyDescent="0.3"/>
  <cols>
    <col min="1" max="16384" width="8.88671875" style="5"/>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44780-607B-4183-8020-9AE0786CEF40}">
  <dimension ref="A1"/>
  <sheetViews>
    <sheetView workbookViewId="0"/>
  </sheetViews>
  <sheetFormatPr defaultRowHeight="14.4" x14ac:dyDescent="0.3"/>
  <cols>
    <col min="1" max="16384" width="8.88671875" style="5"/>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1C081-8A27-4154-B8CC-8A3F6DF8C999}">
  <dimension ref="A1"/>
  <sheetViews>
    <sheetView workbookViewId="0"/>
  </sheetViews>
  <sheetFormatPr defaultRowHeight="14.4" x14ac:dyDescent="0.3"/>
  <cols>
    <col min="1" max="16384" width="8.88671875" style="5"/>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CEEEEFB-07B5-4C57-9B62-F904EF70522F}">
  <ds:schemaRefs/>
</ds:datastoreItem>
</file>

<file path=customXml/itemProps2.xml><?xml version="1.0" encoding="utf-8"?>
<ds:datastoreItem xmlns:ds="http://schemas.openxmlformats.org/officeDocument/2006/customXml" ds:itemID="{8D093ABC-4C7D-4E93-8994-2B9D8029EAEC}">
  <ds:schemaRefs/>
</ds:datastoreItem>
</file>

<file path=customXml/itemProps3.xml><?xml version="1.0" encoding="utf-8"?>
<ds:datastoreItem xmlns:ds="http://schemas.openxmlformats.org/officeDocument/2006/customXml" ds:itemID="{D57A4EAF-E83A-4B08-A739-F48ACD5D7D6D}">
  <ds:schemaRefs/>
</ds:datastoreItem>
</file>

<file path=customXml/itemProps4.xml><?xml version="1.0" encoding="utf-8"?>
<ds:datastoreItem xmlns:ds="http://schemas.openxmlformats.org/officeDocument/2006/customXml" ds:itemID="{BDD45693-47C0-4D6D-BEFF-DD34A964659E}">
  <ds:schemaRefs/>
</ds:datastoreItem>
</file>

<file path=customXml/itemProps5.xml><?xml version="1.0" encoding="utf-8"?>
<ds:datastoreItem xmlns:ds="http://schemas.openxmlformats.org/officeDocument/2006/customXml" ds:itemID="{FAF78ECE-1B18-4F1B-9D8D-A55D83191F33}">
  <ds:schemaRefs/>
</ds:datastoreItem>
</file>

<file path=customXml/itemProps6.xml><?xml version="1.0" encoding="utf-8"?>
<ds:datastoreItem xmlns:ds="http://schemas.openxmlformats.org/officeDocument/2006/customXml" ds:itemID="{F499C441-3475-4EB0-95D3-CC8EE39A08E5}">
  <ds:schemaRefs/>
</ds:datastoreItem>
</file>

<file path=customXml/itemProps7.xml><?xml version="1.0" encoding="utf-8"?>
<ds:datastoreItem xmlns:ds="http://schemas.openxmlformats.org/officeDocument/2006/customXml" ds:itemID="{B6CB06B0-FD81-4A79-B92B-98E27DBAA071}">
  <ds:schemaRefs/>
</ds:datastoreItem>
</file>

<file path=customXml/itemProps8.xml><?xml version="1.0" encoding="utf-8"?>
<ds:datastoreItem xmlns:ds="http://schemas.openxmlformats.org/officeDocument/2006/customXml" ds:itemID="{8ECD74D5-E652-44AD-9E04-B7F792FCA074}">
  <ds:schemaRefs/>
</ds:datastoreItem>
</file>

<file path=customXml/itemProps9.xml><?xml version="1.0" encoding="utf-8"?>
<ds:datastoreItem xmlns:ds="http://schemas.openxmlformats.org/officeDocument/2006/customXml" ds:itemID="{4C464CFB-A094-4767-94BA-8BD560F7CAEE}">
  <ds:schemaRefs/>
</ds:datastoreItem>
</file>

<file path=customXml/itemProps10.xml><?xml version="1.0" encoding="utf-8"?>
<ds:datastoreItem xmlns:ds="http://schemas.openxmlformats.org/officeDocument/2006/customXml" ds:itemID="{3210A3BA-8ACC-42DD-8D47-BA9E485A99DA}">
  <ds:schemaRefs/>
</ds:datastoreItem>
</file>

<file path=customXml/itemProps11.xml><?xml version="1.0" encoding="utf-8"?>
<ds:datastoreItem xmlns:ds="http://schemas.openxmlformats.org/officeDocument/2006/customXml" ds:itemID="{43B89845-8A44-4E4D-94C7-53598A478EAC}">
  <ds:schemaRefs>
    <ds:schemaRef ds:uri="http://schemas.microsoft.com/DataMashup"/>
  </ds:schemaRefs>
</ds:datastoreItem>
</file>

<file path=customXml/itemProps12.xml><?xml version="1.0" encoding="utf-8"?>
<ds:datastoreItem xmlns:ds="http://schemas.openxmlformats.org/officeDocument/2006/customXml" ds:itemID="{992C91EB-7ECD-4355-A740-F6E33304F7E4}">
  <ds:schemaRefs/>
</ds:datastoreItem>
</file>

<file path=customXml/itemProps13.xml><?xml version="1.0" encoding="utf-8"?>
<ds:datastoreItem xmlns:ds="http://schemas.openxmlformats.org/officeDocument/2006/customXml" ds:itemID="{687F630C-84EE-43F0-9AE5-49C69C1B93B4}">
  <ds:schemaRefs/>
</ds:datastoreItem>
</file>

<file path=customXml/itemProps14.xml><?xml version="1.0" encoding="utf-8"?>
<ds:datastoreItem xmlns:ds="http://schemas.openxmlformats.org/officeDocument/2006/customXml" ds:itemID="{E4EB8E4A-23A6-4CAB-B04E-1AA07C729DC6}">
  <ds:schemaRefs/>
</ds:datastoreItem>
</file>

<file path=customXml/itemProps15.xml><?xml version="1.0" encoding="utf-8"?>
<ds:datastoreItem xmlns:ds="http://schemas.openxmlformats.org/officeDocument/2006/customXml" ds:itemID="{7C69B9C4-3FC1-4DC5-AEFC-7EE122646F68}">
  <ds:schemaRefs/>
</ds:datastoreItem>
</file>

<file path=customXml/itemProps16.xml><?xml version="1.0" encoding="utf-8"?>
<ds:datastoreItem xmlns:ds="http://schemas.openxmlformats.org/officeDocument/2006/customXml" ds:itemID="{E08FE531-0200-4B48-B064-22CA077DC9D0}">
  <ds:schemaRefs/>
</ds:datastoreItem>
</file>

<file path=customXml/itemProps17.xml><?xml version="1.0" encoding="utf-8"?>
<ds:datastoreItem xmlns:ds="http://schemas.openxmlformats.org/officeDocument/2006/customXml" ds:itemID="{DA0F13A6-08F0-40F0-815A-C2CE6237F0ED}">
  <ds:schemaRefs/>
</ds:datastoreItem>
</file>

<file path=customXml/itemProps18.xml><?xml version="1.0" encoding="utf-8"?>
<ds:datastoreItem xmlns:ds="http://schemas.openxmlformats.org/officeDocument/2006/customXml" ds:itemID="{0B8E87B1-DE2D-4C86-BA11-D9EF4E3FB14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dashbord</vt:lpstr>
      <vt:lpstr>dayWise_avg_waittime</vt:lpstr>
      <vt:lpstr>Daywis_total_patient</vt:lpstr>
      <vt:lpstr>Daywis_Avg_satisfaction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Siddhesh Mestry</dc:creator>
  <cp:lastModifiedBy>Siddhesh Mestry</cp:lastModifiedBy>
  <dcterms:created xsi:type="dcterms:W3CDTF">2025-09-21T09:23:21Z</dcterms:created>
  <dcterms:modified xsi:type="dcterms:W3CDTF">2025-10-03T08:14:59Z</dcterms:modified>
</cp:coreProperties>
</file>